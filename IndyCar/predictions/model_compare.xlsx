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IndyCar\predictions\"/>
    </mc:Choice>
  </mc:AlternateContent>
  <xr:revisionPtr revIDLastSave="0" documentId="13_ncr:1_{CBCD4F19-A542-41C9-8920-BC90C4F1598A}" xr6:coauthVersionLast="47" xr6:coauthVersionMax="47" xr10:uidLastSave="{00000000-0000-0000-0000-000000000000}"/>
  <bookViews>
    <workbookView xWindow="-96" yWindow="-96" windowWidth="23232" windowHeight="12432" activeTab="3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02" i="4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02" i="3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<sst xmlns="http://schemas.openxmlformats.org/spreadsheetml/2006/main" count="1276" uniqueCount="90">
  <si>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</si>
  <si>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</si>
  <si>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</si>
  <si>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</si>
  <si>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</si>
  <si>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</si>
  <si>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</si>
  <si>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</si>
  <si>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</si>
  <si>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</si>
  <si>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</si>
  <si>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</si>
  <si>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</si>
  <si>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</si>
  <si>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</si>
  <si>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</si>
  <si>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</si>
  <si>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</si>
  <si>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</si>
  <si>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</si>
  <si>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</si>
  <si>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</si>
  <si>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</si>
  <si>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</si>
  <si>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</si>
  <si>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</si>
  <si>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</si>
  <si>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</si>
  <si>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</si>
  <si>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</si>
  <si>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</si>
  <si>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</si>
  <si>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</si>
  <si>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</si>
  <si>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</si>
  <si>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</si>
  <si>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</si>
  <si>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</si>
  <si>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</si>
  <si>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</si>
  <si>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</si>
  <si>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</si>
  <si>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</si>
  <si>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</si>
  <si>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</si>
  <si>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</si>
  <si>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</si>
  <si>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</si>
  <si>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</si>
  <si>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</si>
  <si>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</si>
  <si>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</si>
  <si>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</si>
  <si>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</si>
  <si>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</si>
  <si>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</si>
  <si>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</si>
  <si>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</si>
  <si>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</si>
  <si>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</si>
  <si>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</si>
  <si>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</si>
  <si>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</si>
  <si>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</si>
  <si>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</si>
  <si>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</si>
  <si>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</si>
  <si>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</si>
  <si>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</si>
  <si>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</si>
  <si>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</si>
  <si>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</si>
  <si>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</si>
  <si>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</si>
  <si>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</si>
  <si>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</si>
  <si>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</si>
  <si>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</si>
  <si>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</si>
  <si>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</si>
  <si>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</si>
  <si>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</si>
  <si>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</si>
  <si>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</si>
  <si>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</si>
  <si>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</si>
  <si>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</si>
  <si>
    <t>XGB</t>
  </si>
  <si>
    <t>Streets of Long Beach</t>
  </si>
  <si>
    <t>Indianapolis Motor Speedway (Road)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</si>
</sst>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65" fontId="0" fillId="0" borderId="0" xfId="0" applyNumberFormat="1"/>
    <xf numFmtId="0" fontId="0" fillId="0" borderId="0" xfId="0" applyBorder="1"/>
  </cellXfs>
  <cellStyles count="1">
    <cellStyle name="Normal" xfId="0" builtinId="0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31"/>
  <sheetViews>
    <sheetView topLeftCell="A8" workbookViewId="0">
      <selection activeCell="G31" sqref="G31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2" t="s">
        <v>2</v>
      </c>
      <c r="C1" s="13"/>
      <c r="D1" s="10" t="s">
        <v>7</v>
      </c>
      <c r="E1" s="10"/>
      <c r="F1" s="11" t="s">
        <v>5</v>
      </c>
      <c r="G1" s="11"/>
      <c r="H1" s="11" t="s">
        <v>6</v>
      </c>
      <c r="I1" s="11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87</v>
      </c>
      <c r="B3" s="1">
        <v>0.24779999999999999</v>
      </c>
      <c r="C3" s="1">
        <v>3.5400000000000001E-2</v>
      </c>
      <c r="D3" s="1">
        <v>0.2576</v>
      </c>
      <c r="E3" s="1">
        <v>2.2200000000000001E-2</v>
      </c>
      <c r="F3" s="1">
        <v>0.2208</v>
      </c>
      <c r="G3" s="1">
        <v>0.20200000000000001</v>
      </c>
      <c r="H3" s="1">
        <v>0.22900000000000001</v>
      </c>
      <c r="I3" s="1">
        <v>0.13220000000000001</v>
      </c>
    </row>
    <row r="4" spans="1:10" x14ac:dyDescent="0.55000000000000004">
      <c r="A4" s="1" t="s">
        <v>10</v>
      </c>
      <c r="B4" s="1">
        <v>0.2427</v>
      </c>
      <c r="C4" s="1">
        <v>9.0700000000000003E-2</v>
      </c>
      <c r="D4" s="1">
        <v>0.23599999999999999</v>
      </c>
      <c r="E4" s="1">
        <v>0.13930000000000001</v>
      </c>
      <c r="F4" s="1">
        <v>0.21579999999999999</v>
      </c>
      <c r="G4" s="1">
        <v>0.251</v>
      </c>
      <c r="H4" s="1">
        <v>0.22170000000000001</v>
      </c>
      <c r="I4" s="1">
        <v>0.2039</v>
      </c>
    </row>
    <row r="5" spans="1:10" x14ac:dyDescent="0.55000000000000004">
      <c r="A5" s="1" t="s">
        <v>4</v>
      </c>
      <c r="B5" s="1">
        <v>0.24329999999999999</v>
      </c>
      <c r="C5" s="1">
        <v>6.83E-2</v>
      </c>
      <c r="D5" s="1">
        <v>0.24079999999999999</v>
      </c>
      <c r="E5" s="1">
        <v>0.1186</v>
      </c>
      <c r="F5" s="1">
        <v>0.22370000000000001</v>
      </c>
      <c r="G5" s="1">
        <v>0.22170000000000001</v>
      </c>
      <c r="H5" s="1">
        <v>0.22800000000000001</v>
      </c>
      <c r="I5" s="1">
        <v>0.1794</v>
      </c>
    </row>
    <row r="6" spans="1:10" x14ac:dyDescent="0.55000000000000004">
      <c r="A6" s="1" t="s">
        <v>8</v>
      </c>
      <c r="B6" s="1">
        <v>0.24610000000000001</v>
      </c>
      <c r="C6" s="1">
        <v>4.9500000000000002E-2</v>
      </c>
      <c r="D6" s="1">
        <v>0.23760000000000001</v>
      </c>
      <c r="E6" s="1">
        <v>0.12139999999999999</v>
      </c>
      <c r="F6" s="1">
        <v>0.2137</v>
      </c>
      <c r="G6" s="1">
        <v>0.25030000000000002</v>
      </c>
      <c r="H6" s="1">
        <v>0.21840000000000001</v>
      </c>
      <c r="I6" s="1">
        <v>0.19309999999999999</v>
      </c>
    </row>
    <row r="7" spans="1:10" x14ac:dyDescent="0.55000000000000004">
      <c r="A7" s="1" t="s">
        <v>9</v>
      </c>
      <c r="B7" s="1">
        <v>0.2477</v>
      </c>
      <c r="C7" s="1">
        <v>1.6899999999999998E-2</v>
      </c>
      <c r="D7" s="1">
        <v>0.2364</v>
      </c>
      <c r="E7" s="1">
        <v>0.13469999999999999</v>
      </c>
      <c r="F7" s="1">
        <v>0.2147</v>
      </c>
      <c r="G7" s="1">
        <v>0.25440000000000002</v>
      </c>
      <c r="H7" s="1">
        <v>0.22020000000000001</v>
      </c>
      <c r="I7" s="1">
        <v>0.1993</v>
      </c>
    </row>
    <row r="8" spans="1:10" x14ac:dyDescent="0.55000000000000004">
      <c r="A8" s="1" t="s">
        <v>11</v>
      </c>
      <c r="B8" s="1">
        <v>0.23580000000000001</v>
      </c>
      <c r="C8" s="1">
        <v>0.14030000000000001</v>
      </c>
      <c r="D8" s="1">
        <v>0.23580000000000001</v>
      </c>
      <c r="E8" s="1">
        <v>0.14069999999999999</v>
      </c>
      <c r="F8" s="1">
        <v>0.2152</v>
      </c>
      <c r="G8" s="1">
        <v>0.25369999999999998</v>
      </c>
      <c r="H8" s="1">
        <v>0.22109999999999999</v>
      </c>
      <c r="I8" s="1">
        <v>0.2036</v>
      </c>
    </row>
    <row r="9" spans="1:10" x14ac:dyDescent="0.55000000000000004">
      <c r="A9" s="1" t="s">
        <v>12</v>
      </c>
      <c r="B9" s="1">
        <v>0.23719999999999999</v>
      </c>
      <c r="C9" s="1">
        <v>0.13639999999999999</v>
      </c>
      <c r="D9" s="1">
        <v>0.2366</v>
      </c>
      <c r="E9" s="1">
        <v>0.13830000000000001</v>
      </c>
      <c r="F9" s="1">
        <v>0.2167</v>
      </c>
      <c r="G9" s="1">
        <v>0.25030000000000002</v>
      </c>
      <c r="H9" s="1">
        <v>0.22209999999999999</v>
      </c>
      <c r="I9" s="1">
        <v>0.20039999999999999</v>
      </c>
    </row>
    <row r="10" spans="1:10" x14ac:dyDescent="0.55000000000000004">
      <c r="A10" s="1" t="s">
        <v>13</v>
      </c>
      <c r="B10" s="1">
        <v>0.23699999999999999</v>
      </c>
      <c r="C10" s="1">
        <v>0.13550000000000001</v>
      </c>
      <c r="D10" s="1">
        <v>0.23649999999999999</v>
      </c>
      <c r="E10" s="1">
        <v>0.13650000000000001</v>
      </c>
      <c r="F10" s="1">
        <v>0.21510000000000001</v>
      </c>
      <c r="G10" s="1">
        <v>0.25409999999999999</v>
      </c>
      <c r="H10" s="1">
        <v>0.2203</v>
      </c>
      <c r="I10" s="1">
        <v>0.2011</v>
      </c>
    </row>
    <row r="12" spans="1:10" ht="31.8" customHeight="1" x14ac:dyDescent="0.55000000000000004">
      <c r="A12" s="2" t="s">
        <v>0</v>
      </c>
      <c r="B12" s="12" t="s">
        <v>2</v>
      </c>
      <c r="C12" s="13"/>
      <c r="D12" s="10" t="s">
        <v>7</v>
      </c>
      <c r="E12" s="10"/>
      <c r="F12" s="11" t="s">
        <v>5</v>
      </c>
      <c r="G12" s="11"/>
      <c r="H12" s="11" t="s">
        <v>6</v>
      </c>
      <c r="I12" s="11"/>
      <c r="J12" t="s">
        <v>50</v>
      </c>
    </row>
    <row r="13" spans="1:10" x14ac:dyDescent="0.55000000000000004">
      <c r="A13" s="1"/>
      <c r="B13" s="1" t="s">
        <v>1</v>
      </c>
      <c r="C13" s="1" t="s">
        <v>3</v>
      </c>
      <c r="D13" s="1" t="s">
        <v>1</v>
      </c>
      <c r="E13" s="1" t="s">
        <v>3</v>
      </c>
      <c r="F13" s="1" t="s">
        <v>1</v>
      </c>
      <c r="G13" s="1" t="s">
        <v>3</v>
      </c>
      <c r="H13" s="1" t="s">
        <v>1</v>
      </c>
      <c r="I13" s="1" t="s">
        <v>3</v>
      </c>
    </row>
    <row r="14" spans="1:10" x14ac:dyDescent="0.55000000000000004">
      <c r="A14" s="1" t="s">
        <v>87</v>
      </c>
      <c r="B14" s="1">
        <v>0.26190000000000002</v>
      </c>
      <c r="C14" s="1">
        <v>-0.11269999999999999</v>
      </c>
      <c r="D14" s="1">
        <v>0.25779999999999997</v>
      </c>
      <c r="E14" s="1">
        <v>2.24E-2</v>
      </c>
      <c r="F14" s="1">
        <v>0.25309999999999999</v>
      </c>
      <c r="G14" s="1">
        <v>4.5400000000000003E-2</v>
      </c>
      <c r="H14" s="1">
        <v>0.2545</v>
      </c>
      <c r="I14" s="1">
        <v>3.6600000000000001E-2</v>
      </c>
    </row>
    <row r="15" spans="1:10" x14ac:dyDescent="0.55000000000000004">
      <c r="A15" s="1" t="s">
        <v>10</v>
      </c>
      <c r="B15" s="1">
        <v>0.24390000000000001</v>
      </c>
      <c r="C15" s="1">
        <v>8.5800000000000001E-2</v>
      </c>
      <c r="D15" s="1">
        <v>0.2361</v>
      </c>
      <c r="E15" s="1">
        <v>0.1421</v>
      </c>
      <c r="F15" s="1">
        <v>0.2165</v>
      </c>
      <c r="G15" s="1">
        <v>0.25069999999999998</v>
      </c>
      <c r="H15" s="1">
        <v>0.22209999999999999</v>
      </c>
      <c r="I15" s="1">
        <v>0.20180000000000001</v>
      </c>
    </row>
    <row r="16" spans="1:10" x14ac:dyDescent="0.55000000000000004">
      <c r="A16" s="1" t="s">
        <v>4</v>
      </c>
      <c r="B16" s="1">
        <v>0.245</v>
      </c>
      <c r="C16" s="1">
        <v>5.57E-2</v>
      </c>
      <c r="D16" s="1">
        <v>0.2417</v>
      </c>
      <c r="E16" s="1">
        <v>0.115</v>
      </c>
      <c r="F16" s="1">
        <v>0.218</v>
      </c>
      <c r="G16" s="1">
        <v>0.2334</v>
      </c>
      <c r="H16" s="1">
        <v>0.22789999999999999</v>
      </c>
      <c r="I16" s="1">
        <v>0.18210000000000001</v>
      </c>
    </row>
    <row r="17" spans="1:9" x14ac:dyDescent="0.55000000000000004">
      <c r="A17" s="1" t="s">
        <v>8</v>
      </c>
      <c r="B17" s="1">
        <v>0.24790000000000001</v>
      </c>
      <c r="C17" s="1">
        <v>3.0700000000000002E-2</v>
      </c>
      <c r="D17" s="1">
        <v>0.23680000000000001</v>
      </c>
      <c r="E17" s="1">
        <v>0.1263</v>
      </c>
      <c r="F17" s="1">
        <v>0.21560000000000001</v>
      </c>
      <c r="G17" s="1">
        <v>0.25009999999999999</v>
      </c>
      <c r="H17" s="1">
        <v>0.21990000000000001</v>
      </c>
      <c r="I17" s="1">
        <v>0.20269999999999999</v>
      </c>
    </row>
    <row r="18" spans="1:9" x14ac:dyDescent="0.55000000000000004">
      <c r="A18" s="1" t="s">
        <v>9</v>
      </c>
      <c r="B18" s="1">
        <v>0.246</v>
      </c>
      <c r="C18" s="1">
        <v>2.5399999999999999E-2</v>
      </c>
      <c r="D18" s="1">
        <v>0.23569999999999999</v>
      </c>
      <c r="E18" s="1">
        <v>0.13930000000000001</v>
      </c>
      <c r="F18" s="1">
        <v>0.21390000000000001</v>
      </c>
      <c r="G18" s="1">
        <v>0.25159999999999999</v>
      </c>
      <c r="H18" s="1">
        <v>0.219</v>
      </c>
      <c r="I18" s="1">
        <v>0.1976</v>
      </c>
    </row>
    <row r="19" spans="1:9" x14ac:dyDescent="0.55000000000000004">
      <c r="A19" s="1" t="s">
        <v>21</v>
      </c>
      <c r="B19" s="1">
        <v>0.2356</v>
      </c>
      <c r="C19" s="1">
        <v>0.14410000000000001</v>
      </c>
      <c r="D19" s="1">
        <v>0.23569999999999999</v>
      </c>
      <c r="E19" s="1">
        <v>0.14419999999999999</v>
      </c>
      <c r="F19" s="1">
        <v>0.21490000000000001</v>
      </c>
      <c r="G19" s="1">
        <v>0.25330000000000003</v>
      </c>
      <c r="H19" s="1">
        <v>0.22070000000000001</v>
      </c>
      <c r="I19" s="1">
        <v>0.20180000000000001</v>
      </c>
    </row>
    <row r="20" spans="1:9" x14ac:dyDescent="0.55000000000000004">
      <c r="A20" s="1" t="s">
        <v>15</v>
      </c>
      <c r="B20" s="1">
        <v>0.23569999999999999</v>
      </c>
      <c r="C20" s="1">
        <v>0.14149999999999999</v>
      </c>
      <c r="D20" s="1">
        <v>0.23569999999999999</v>
      </c>
      <c r="E20" s="1">
        <v>0.14369999999999999</v>
      </c>
      <c r="F20" s="1">
        <v>0.2147</v>
      </c>
      <c r="G20" s="1">
        <v>0.25490000000000002</v>
      </c>
      <c r="H20" s="1">
        <v>0.2198</v>
      </c>
      <c r="I20" s="1">
        <v>0.20380000000000001</v>
      </c>
    </row>
    <row r="21" spans="1:9" x14ac:dyDescent="0.55000000000000004">
      <c r="A21" s="1" t="s">
        <v>12</v>
      </c>
      <c r="B21" s="1">
        <v>0.23730000000000001</v>
      </c>
      <c r="C21" s="1">
        <v>0.13850000000000001</v>
      </c>
      <c r="D21" s="1">
        <v>0.2366</v>
      </c>
      <c r="E21" s="1">
        <v>0.14119999999999999</v>
      </c>
      <c r="F21" s="1">
        <v>0.2165</v>
      </c>
      <c r="G21" s="1">
        <v>0.24959999999999999</v>
      </c>
      <c r="H21" s="1">
        <v>0.22170000000000001</v>
      </c>
      <c r="I21" s="1">
        <v>0.20050000000000001</v>
      </c>
    </row>
    <row r="22" spans="1:9" x14ac:dyDescent="0.55000000000000004">
      <c r="A22" s="1" t="s">
        <v>13</v>
      </c>
      <c r="B22" s="1">
        <v>0.2369</v>
      </c>
      <c r="C22" s="1">
        <v>0.13850000000000001</v>
      </c>
      <c r="D22" s="1">
        <v>0.2361</v>
      </c>
      <c r="E22" s="1">
        <v>0.1406</v>
      </c>
      <c r="F22" s="1">
        <v>0.21679999999999999</v>
      </c>
      <c r="G22" s="1">
        <v>0.2495</v>
      </c>
      <c r="H22" s="1">
        <v>0.22009999999999999</v>
      </c>
      <c r="I22" s="1">
        <v>0.20280000000000001</v>
      </c>
    </row>
    <row r="23" spans="1:9" x14ac:dyDescent="0.55000000000000004">
      <c r="A23" s="3" t="s">
        <v>14</v>
      </c>
      <c r="B23" s="1">
        <v>0.2361</v>
      </c>
      <c r="C23" s="1">
        <v>0.13850000000000001</v>
      </c>
      <c r="D23" s="1">
        <v>0.23599999999999999</v>
      </c>
      <c r="E23" s="1">
        <v>0.1416</v>
      </c>
      <c r="F23" s="1">
        <v>0.21560000000000001</v>
      </c>
      <c r="G23" s="1">
        <v>0.2535</v>
      </c>
      <c r="H23" s="1">
        <v>0.2203</v>
      </c>
      <c r="I23" s="1">
        <v>0.20499999999999999</v>
      </c>
    </row>
    <row r="24" spans="1:9" x14ac:dyDescent="0.55000000000000004">
      <c r="A24" s="1" t="s">
        <v>58</v>
      </c>
      <c r="B24" s="1">
        <v>0.23580000000000001</v>
      </c>
      <c r="C24" s="1">
        <v>0.1376</v>
      </c>
      <c r="D24" s="1">
        <v>0.23569999999999999</v>
      </c>
      <c r="E24" s="1">
        <v>0.13980000000000001</v>
      </c>
      <c r="F24" s="1">
        <v>0.2142</v>
      </c>
      <c r="G24" s="1">
        <v>0.25490000000000002</v>
      </c>
      <c r="H24" s="1">
        <v>0.21909999999999999</v>
      </c>
      <c r="I24" s="1">
        <v>0.2026</v>
      </c>
    </row>
    <row r="25" spans="1:9" x14ac:dyDescent="0.55000000000000004">
      <c r="B25" t="s">
        <v>62</v>
      </c>
      <c r="C25" t="s">
        <v>63</v>
      </c>
      <c r="D25" t="s">
        <v>64</v>
      </c>
      <c r="E25" t="s">
        <v>65</v>
      </c>
    </row>
    <row r="26" spans="1:9" x14ac:dyDescent="0.55000000000000004">
      <c r="D26" t="s">
        <v>1</v>
      </c>
      <c r="E26" t="s">
        <v>3</v>
      </c>
    </row>
    <row r="27" spans="1:9" x14ac:dyDescent="0.55000000000000004">
      <c r="A27" s="4">
        <v>46085</v>
      </c>
      <c r="B27" t="s">
        <v>12</v>
      </c>
      <c r="D27">
        <v>0.2293</v>
      </c>
      <c r="E27">
        <v>0.13789999999999999</v>
      </c>
    </row>
    <row r="28" spans="1:9" x14ac:dyDescent="0.55000000000000004">
      <c r="A28" s="4">
        <v>46090</v>
      </c>
      <c r="B28" t="s">
        <v>8</v>
      </c>
      <c r="D28">
        <v>0.223</v>
      </c>
      <c r="E28">
        <v>0.1744</v>
      </c>
    </row>
    <row r="29" spans="1:9" x14ac:dyDescent="0.55000000000000004">
      <c r="A29" s="4">
        <v>46098</v>
      </c>
      <c r="B29" t="s">
        <v>14</v>
      </c>
      <c r="D29">
        <v>0.22220000000000001</v>
      </c>
      <c r="E29">
        <v>0.19389999999999999</v>
      </c>
    </row>
    <row r="30" spans="1:9" x14ac:dyDescent="0.55000000000000004">
      <c r="A30" s="4">
        <v>46112</v>
      </c>
      <c r="B30" t="s">
        <v>14</v>
      </c>
      <c r="D30">
        <v>0.21970000000000001</v>
      </c>
      <c r="E30">
        <v>0.20610000000000001</v>
      </c>
      <c r="G30" s="5">
        <f>D31*25</f>
        <v>5.4775</v>
      </c>
    </row>
    <row r="31" spans="1:9" x14ac:dyDescent="0.55000000000000004">
      <c r="A31" s="4">
        <v>46151</v>
      </c>
      <c r="B31" t="s">
        <v>58</v>
      </c>
      <c r="D31">
        <v>0.21909999999999999</v>
      </c>
      <c r="E31" s="14">
        <v>0.2026</v>
      </c>
    </row>
  </sheetData>
  <mergeCells count="8">
    <mergeCell ref="D1:E1"/>
    <mergeCell ref="F1:G1"/>
    <mergeCell ref="H1:I1"/>
    <mergeCell ref="B1:C1"/>
    <mergeCell ref="B12:C12"/>
    <mergeCell ref="D12:E12"/>
    <mergeCell ref="F12:G12"/>
    <mergeCell ref="H12:I12"/>
  </mergeCells>
  <conditionalFormatting sqref="B3:B10">
    <cfRule type="top10" dxfId="24" priority="57" bottom="1" rank="1"/>
  </conditionalFormatting>
  <conditionalFormatting sqref="B14:B24">
    <cfRule type="top10" dxfId="23" priority="99" bottom="1" rank="1"/>
  </conditionalFormatting>
  <conditionalFormatting sqref="C3:C10">
    <cfRule type="top10" dxfId="22" priority="56" rank="1"/>
  </conditionalFormatting>
  <conditionalFormatting sqref="C14:C24">
    <cfRule type="top10" dxfId="21" priority="101" rank="1"/>
  </conditionalFormatting>
  <conditionalFormatting sqref="D3:D10">
    <cfRule type="top10" dxfId="20" priority="12" bottom="1" rank="1"/>
  </conditionalFormatting>
  <conditionalFormatting sqref="D14:D24">
    <cfRule type="top10" dxfId="19" priority="6" bottom="1" rank="1"/>
  </conditionalFormatting>
  <conditionalFormatting sqref="E3:E10">
    <cfRule type="top10" dxfId="18" priority="9" rank="1"/>
  </conditionalFormatting>
  <conditionalFormatting sqref="E14:E24">
    <cfRule type="top10" dxfId="17" priority="3" rank="1"/>
  </conditionalFormatting>
  <conditionalFormatting sqref="F3:F10">
    <cfRule type="top10" dxfId="16" priority="11" bottom="1" rank="1"/>
  </conditionalFormatting>
  <conditionalFormatting sqref="F14:F24">
    <cfRule type="top10" dxfId="15" priority="5" bottom="1" rank="1"/>
  </conditionalFormatting>
  <conditionalFormatting sqref="G3:G10">
    <cfRule type="top10" dxfId="14" priority="8" rank="1"/>
  </conditionalFormatting>
  <conditionalFormatting sqref="G14:G24">
    <cfRule type="top10" dxfId="13" priority="2" rank="1"/>
  </conditionalFormatting>
  <conditionalFormatting sqref="H3:H10">
    <cfRule type="top10" dxfId="12" priority="10" bottom="1" rank="1"/>
  </conditionalFormatting>
  <conditionalFormatting sqref="H14:H24">
    <cfRule type="top10" dxfId="11" priority="4" bottom="1" rank="1"/>
  </conditionalFormatting>
  <conditionalFormatting sqref="I3:I10">
    <cfRule type="top10" dxfId="10" priority="7" rank="1"/>
  </conditionalFormatting>
  <conditionalFormatting sqref="I14:I24">
    <cfRule type="top10" dxfId="9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I27"/>
  <sheetViews>
    <sheetView topLeftCell="A2" workbookViewId="0">
      <selection activeCell="G27" sqref="G27"/>
    </sheetView>
  </sheetViews>
  <sheetFormatPr defaultRowHeight="14.4" x14ac:dyDescent="0.55000000000000004"/>
  <cols>
    <col min="1" max="1" width="10.20703125" bestFit="1" customWidth="1"/>
    <col min="2" max="2" width="10.578125" customWidth="1"/>
  </cols>
  <sheetData>
    <row r="1" spans="1:9" ht="34.200000000000003" customHeight="1" x14ac:dyDescent="0.55000000000000004">
      <c r="A1" s="2" t="s">
        <v>0</v>
      </c>
      <c r="B1" s="12" t="s">
        <v>2</v>
      </c>
      <c r="C1" s="13"/>
      <c r="D1" s="10" t="s">
        <v>7</v>
      </c>
      <c r="E1" s="10"/>
      <c r="F1" s="11" t="s">
        <v>5</v>
      </c>
      <c r="G1" s="11"/>
      <c r="H1" s="11" t="s">
        <v>6</v>
      </c>
      <c r="I1" s="11"/>
    </row>
    <row r="2" spans="1:9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9" x14ac:dyDescent="0.55000000000000004">
      <c r="A3" s="1" t="s">
        <v>16</v>
      </c>
      <c r="B3" s="1">
        <v>0.2349</v>
      </c>
      <c r="C3" s="1">
        <v>0.1376</v>
      </c>
      <c r="D3" s="1">
        <v>0.2344</v>
      </c>
      <c r="E3" s="1">
        <v>0.16039999999999999</v>
      </c>
      <c r="F3" s="1">
        <v>0.2155</v>
      </c>
      <c r="G3" s="1">
        <v>0.254</v>
      </c>
      <c r="H3" s="1">
        <v>0.21690000000000001</v>
      </c>
      <c r="I3" s="1">
        <v>0.2303</v>
      </c>
    </row>
    <row r="4" spans="1:9" x14ac:dyDescent="0.55000000000000004">
      <c r="A4" s="1" t="s">
        <v>17</v>
      </c>
      <c r="B4" s="1">
        <v>0.2374</v>
      </c>
      <c r="C4" s="1">
        <v>0.1278</v>
      </c>
      <c r="D4" s="1">
        <v>0.23269999999999999</v>
      </c>
      <c r="E4" s="1">
        <v>0.1638</v>
      </c>
      <c r="F4" s="1">
        <v>0.2127</v>
      </c>
      <c r="G4" s="1">
        <v>0.27310000000000001</v>
      </c>
      <c r="H4" s="1">
        <v>0.21540000000000001</v>
      </c>
      <c r="I4" s="1">
        <v>0.2452</v>
      </c>
    </row>
    <row r="5" spans="1:9" x14ac:dyDescent="0.55000000000000004">
      <c r="A5" s="1" t="s">
        <v>18</v>
      </c>
      <c r="B5" s="1">
        <v>0.23669999999999999</v>
      </c>
      <c r="C5" s="1">
        <v>0.1069</v>
      </c>
      <c r="D5" s="1">
        <v>0.23749999999999999</v>
      </c>
      <c r="E5" s="1">
        <v>0.1434</v>
      </c>
      <c r="F5" s="1">
        <v>0.21060000000000001</v>
      </c>
      <c r="G5" s="1">
        <v>0.26910000000000001</v>
      </c>
      <c r="H5" s="1">
        <v>0.21879999999999999</v>
      </c>
      <c r="I5" s="1">
        <v>0.2392</v>
      </c>
    </row>
    <row r="6" spans="1:9" x14ac:dyDescent="0.55000000000000004">
      <c r="A6" s="1" t="s">
        <v>19</v>
      </c>
      <c r="B6" s="1">
        <v>0.23949999999999999</v>
      </c>
      <c r="C6" s="1">
        <v>8.3099999999999993E-2</v>
      </c>
      <c r="D6" s="1">
        <v>0.23100000000000001</v>
      </c>
      <c r="E6" s="1">
        <v>0.1593</v>
      </c>
      <c r="F6" s="1">
        <v>0.2054</v>
      </c>
      <c r="G6" s="1">
        <v>0.29480000000000001</v>
      </c>
      <c r="H6" s="1">
        <v>0.2077</v>
      </c>
      <c r="I6" s="1">
        <v>0.26979999999999998</v>
      </c>
    </row>
    <row r="7" spans="1:9" x14ac:dyDescent="0.55000000000000004">
      <c r="A7" s="1" t="s">
        <v>20</v>
      </c>
      <c r="B7" s="1">
        <v>0.2424</v>
      </c>
      <c r="C7" s="1">
        <v>5.2400000000000002E-2</v>
      </c>
      <c r="D7" s="1">
        <v>0.23</v>
      </c>
      <c r="E7" s="1">
        <v>0.17080000000000001</v>
      </c>
      <c r="F7" s="1">
        <v>0.20619999999999999</v>
      </c>
      <c r="G7" s="1">
        <v>0.29239999999999999</v>
      </c>
      <c r="H7" s="1">
        <v>0.20630000000000001</v>
      </c>
      <c r="I7" s="1">
        <v>0.26950000000000002</v>
      </c>
    </row>
    <row r="8" spans="1:9" x14ac:dyDescent="0.55000000000000004">
      <c r="A8" s="1" t="s">
        <v>24</v>
      </c>
      <c r="B8" s="1">
        <v>0.22639999999999999</v>
      </c>
      <c r="C8" s="1">
        <v>0.17030000000000001</v>
      </c>
      <c r="D8" s="1">
        <v>0.22650000000000001</v>
      </c>
      <c r="E8" s="1">
        <v>0.17030000000000001</v>
      </c>
      <c r="F8" s="1">
        <v>0.20230000000000001</v>
      </c>
      <c r="G8" s="1">
        <v>0.28520000000000001</v>
      </c>
      <c r="H8" s="1">
        <v>0.20469999999999999</v>
      </c>
      <c r="I8" s="1">
        <v>0.25359999999999999</v>
      </c>
    </row>
    <row r="9" spans="1:9" x14ac:dyDescent="0.55000000000000004">
      <c r="A9" s="1" t="s">
        <v>21</v>
      </c>
      <c r="B9" s="1">
        <v>0.23100000000000001</v>
      </c>
      <c r="C9" s="1">
        <v>0.17119999999999999</v>
      </c>
      <c r="D9" s="1">
        <v>0.2303</v>
      </c>
      <c r="E9" s="1">
        <v>0.1719</v>
      </c>
      <c r="F9" s="1">
        <v>0.20710000000000001</v>
      </c>
      <c r="G9" s="1">
        <v>0.2913</v>
      </c>
      <c r="H9" s="1">
        <v>0.2077</v>
      </c>
      <c r="I9" s="1">
        <v>0.26750000000000002</v>
      </c>
    </row>
    <row r="10" spans="1:9" x14ac:dyDescent="0.55000000000000004">
      <c r="A10" s="1" t="s">
        <v>22</v>
      </c>
      <c r="B10" s="1">
        <v>0.23050000000000001</v>
      </c>
      <c r="C10" s="1">
        <v>0.1714</v>
      </c>
      <c r="D10" s="1">
        <v>0.23019999999999999</v>
      </c>
      <c r="E10" s="1">
        <v>0.17249999999999999</v>
      </c>
      <c r="F10" s="1">
        <v>0.20680000000000001</v>
      </c>
      <c r="G10" s="1">
        <v>0.29339999999999999</v>
      </c>
      <c r="H10" s="1">
        <v>0.2077</v>
      </c>
      <c r="I10" s="1">
        <v>0.26939999999999997</v>
      </c>
    </row>
    <row r="11" spans="1:9" x14ac:dyDescent="0.55000000000000004">
      <c r="A11" s="1" t="s">
        <v>52</v>
      </c>
      <c r="B11" s="1">
        <v>0.23039999999999999</v>
      </c>
      <c r="C11" s="1">
        <v>0.17519999999999999</v>
      </c>
      <c r="D11" s="1">
        <v>0.2298</v>
      </c>
      <c r="E11" s="1">
        <v>0.1774</v>
      </c>
      <c r="F11" s="1">
        <v>0.20799999999999999</v>
      </c>
      <c r="G11" s="1">
        <v>0.29249999999999998</v>
      </c>
      <c r="H11" s="1">
        <v>0.20899999999999999</v>
      </c>
      <c r="I11" s="1">
        <v>0.2681</v>
      </c>
    </row>
    <row r="12" spans="1:9" x14ac:dyDescent="0.55000000000000004">
      <c r="A12" s="3" t="s">
        <v>53</v>
      </c>
      <c r="B12" s="1">
        <v>0.22800000000000001</v>
      </c>
      <c r="C12" s="1">
        <v>0.17749999999999999</v>
      </c>
      <c r="D12" s="1">
        <v>0.2273</v>
      </c>
      <c r="E12" s="1">
        <v>0.17929999999999999</v>
      </c>
      <c r="F12" s="1">
        <v>0.20369999999999999</v>
      </c>
      <c r="G12" s="1">
        <v>0.2979</v>
      </c>
      <c r="H12" s="1">
        <v>0.20519999999999999</v>
      </c>
      <c r="I12" s="1">
        <v>0.27210000000000001</v>
      </c>
    </row>
    <row r="13" spans="1:9" x14ac:dyDescent="0.55000000000000004">
      <c r="A13" s="1" t="s">
        <v>23</v>
      </c>
      <c r="B13" s="1">
        <v>0.2296</v>
      </c>
      <c r="C13" s="1">
        <v>0.17710000000000001</v>
      </c>
      <c r="D13" s="1">
        <v>0.2281</v>
      </c>
      <c r="E13" s="1">
        <v>0.1797</v>
      </c>
      <c r="F13" s="1">
        <v>0.20619999999999999</v>
      </c>
      <c r="G13" s="1">
        <v>0.29249999999999998</v>
      </c>
      <c r="H13" s="1">
        <v>0.2079</v>
      </c>
      <c r="I13" s="1">
        <v>0.2661</v>
      </c>
    </row>
    <row r="14" spans="1:9" x14ac:dyDescent="0.55000000000000004">
      <c r="A14" s="1" t="s">
        <v>56</v>
      </c>
      <c r="B14" s="1">
        <v>0.23280000000000001</v>
      </c>
      <c r="C14" s="1">
        <v>0.1661</v>
      </c>
      <c r="D14" s="1">
        <v>0.23200000000000001</v>
      </c>
      <c r="E14" s="1">
        <v>0.1686</v>
      </c>
      <c r="F14" s="1">
        <v>0.2109</v>
      </c>
      <c r="G14" s="1">
        <v>0.28249999999999997</v>
      </c>
      <c r="H14" s="1">
        <v>0.2117</v>
      </c>
      <c r="I14" s="1">
        <v>0.26019999999999999</v>
      </c>
    </row>
    <row r="15" spans="1:9" x14ac:dyDescent="0.55000000000000004">
      <c r="A15" s="1" t="s">
        <v>60</v>
      </c>
      <c r="B15" s="1">
        <v>0.2319</v>
      </c>
      <c r="C15" s="1">
        <v>0.16830000000000001</v>
      </c>
      <c r="D15" s="1">
        <v>0.23080000000000001</v>
      </c>
      <c r="E15" s="1">
        <v>0.17130000000000001</v>
      </c>
      <c r="F15" s="1">
        <v>0.2079</v>
      </c>
      <c r="G15" s="1">
        <v>0.2918</v>
      </c>
      <c r="H15" s="1">
        <v>0.2087</v>
      </c>
      <c r="I15" s="1">
        <v>0.26889999999999997</v>
      </c>
    </row>
    <row r="16" spans="1:9" x14ac:dyDescent="0.55000000000000004">
      <c r="A16" s="1" t="s">
        <v>54</v>
      </c>
      <c r="B16" s="1">
        <v>0.23119999999999999</v>
      </c>
      <c r="C16" s="1">
        <v>0.16769999999999999</v>
      </c>
      <c r="D16" s="1">
        <v>0.23130000000000001</v>
      </c>
      <c r="E16" s="1">
        <v>0.16789999999999999</v>
      </c>
      <c r="F16" s="1">
        <v>0.20849999999999999</v>
      </c>
      <c r="G16" s="1">
        <v>0.28920000000000001</v>
      </c>
      <c r="H16" s="1">
        <v>0.21049999999999999</v>
      </c>
      <c r="I16" s="1">
        <v>0.26319999999999999</v>
      </c>
    </row>
    <row r="17" spans="1:9" x14ac:dyDescent="0.55000000000000004">
      <c r="A17" s="1" t="s">
        <v>57</v>
      </c>
      <c r="B17" s="1">
        <v>0.22989999999999999</v>
      </c>
      <c r="C17" s="1">
        <v>0.17030000000000001</v>
      </c>
      <c r="D17" s="1">
        <v>0.22989999999999999</v>
      </c>
      <c r="E17" s="1">
        <v>0.1719</v>
      </c>
      <c r="F17" s="1">
        <v>0.2054</v>
      </c>
      <c r="G17" s="1">
        <v>0.29659999999999997</v>
      </c>
      <c r="H17" s="1">
        <v>0.2064</v>
      </c>
      <c r="I17" s="1">
        <v>0.27300000000000002</v>
      </c>
    </row>
    <row r="18" spans="1:9" x14ac:dyDescent="0.55000000000000004">
      <c r="A18" s="1" t="s">
        <v>55</v>
      </c>
      <c r="B18" s="1">
        <v>0.23019999999999999</v>
      </c>
      <c r="C18" s="1">
        <v>0.17480000000000001</v>
      </c>
      <c r="D18" s="1">
        <v>0.22839999999999999</v>
      </c>
      <c r="E18" s="1">
        <v>0.1777</v>
      </c>
      <c r="F18" s="1">
        <v>0.20480000000000001</v>
      </c>
      <c r="G18" s="1">
        <v>0.29680000000000001</v>
      </c>
      <c r="H18" s="1">
        <v>0.20630000000000001</v>
      </c>
      <c r="I18" s="1">
        <v>0.27079999999999999</v>
      </c>
    </row>
    <row r="19" spans="1:9" x14ac:dyDescent="0.55000000000000004">
      <c r="A19" s="1" t="s">
        <v>59</v>
      </c>
      <c r="B19" s="1">
        <v>0.23300000000000001</v>
      </c>
      <c r="C19" s="1">
        <v>0.1651</v>
      </c>
      <c r="D19" s="1">
        <v>0.23119999999999999</v>
      </c>
      <c r="E19" s="1">
        <v>0.17030000000000001</v>
      </c>
      <c r="F19" s="1">
        <v>0.20860000000000001</v>
      </c>
      <c r="G19" s="1">
        <v>0.28899999999999998</v>
      </c>
      <c r="H19" s="1">
        <v>0.20849999999999999</v>
      </c>
      <c r="I19" s="1">
        <v>0.26869999999999999</v>
      </c>
    </row>
    <row r="20" spans="1:9" x14ac:dyDescent="0.55000000000000004">
      <c r="A20" s="1" t="s">
        <v>61</v>
      </c>
      <c r="B20" s="1">
        <v>0.2334</v>
      </c>
      <c r="C20" s="1">
        <v>0.16070000000000001</v>
      </c>
      <c r="D20" s="1">
        <v>0.23169999999999999</v>
      </c>
      <c r="E20" s="1">
        <v>0.16200000000000001</v>
      </c>
      <c r="F20" s="1">
        <v>0.2077</v>
      </c>
      <c r="G20" s="1">
        <v>0.29160000000000003</v>
      </c>
      <c r="H20" s="1">
        <v>0.2092</v>
      </c>
      <c r="I20" s="1">
        <v>0.26889999999999997</v>
      </c>
    </row>
    <row r="21" spans="1:9" x14ac:dyDescent="0.55000000000000004">
      <c r="A21" s="15"/>
      <c r="B21" s="15" t="s">
        <v>16</v>
      </c>
      <c r="C21" s="15" t="s">
        <v>62</v>
      </c>
      <c r="D21" s="15" t="s">
        <v>63</v>
      </c>
      <c r="E21" s="15" t="s">
        <v>64</v>
      </c>
      <c r="F21" s="15" t="s">
        <v>65</v>
      </c>
      <c r="G21" s="15" t="s">
        <v>24</v>
      </c>
      <c r="H21" s="15"/>
      <c r="I21" s="15"/>
    </row>
    <row r="22" spans="1:9" x14ac:dyDescent="0.55000000000000004">
      <c r="C22" t="s">
        <v>1</v>
      </c>
      <c r="D22" t="s">
        <v>3</v>
      </c>
    </row>
    <row r="23" spans="1:9" x14ac:dyDescent="0.55000000000000004">
      <c r="A23" s="4">
        <v>46085</v>
      </c>
      <c r="B23" t="s">
        <v>59</v>
      </c>
      <c r="C23">
        <v>0.2147</v>
      </c>
      <c r="D23">
        <v>0.2006</v>
      </c>
    </row>
    <row r="24" spans="1:9" x14ac:dyDescent="0.55000000000000004">
      <c r="A24" s="4">
        <v>46090</v>
      </c>
      <c r="B24" t="s">
        <v>61</v>
      </c>
      <c r="C24">
        <v>0.2142</v>
      </c>
      <c r="D24">
        <v>0.2334</v>
      </c>
    </row>
    <row r="25" spans="1:9" x14ac:dyDescent="0.55000000000000004">
      <c r="A25" s="4">
        <v>46098</v>
      </c>
      <c r="B25" t="s">
        <v>53</v>
      </c>
      <c r="C25">
        <v>0.20810000000000001</v>
      </c>
      <c r="D25">
        <v>0.24890000000000001</v>
      </c>
    </row>
    <row r="26" spans="1:9" x14ac:dyDescent="0.55000000000000004">
      <c r="A26" s="4">
        <v>46112</v>
      </c>
      <c r="B26" t="s">
        <v>53</v>
      </c>
      <c r="C26">
        <v>0.2056</v>
      </c>
      <c r="D26">
        <v>0.2727</v>
      </c>
    </row>
    <row r="27" spans="1:9" x14ac:dyDescent="0.55000000000000004">
      <c r="A27" s="4">
        <v>46151</v>
      </c>
      <c r="B27" t="s">
        <v>53</v>
      </c>
      <c r="C27">
        <v>0.20519999999999999</v>
      </c>
      <c r="D27">
        <v>0.27210000000000001</v>
      </c>
    </row>
  </sheetData>
  <mergeCells count="4">
    <mergeCell ref="B1:C1"/>
    <mergeCell ref="D1:E1"/>
    <mergeCell ref="F1:G1"/>
    <mergeCell ref="H1:I1"/>
  </mergeCells>
  <conditionalFormatting sqref="B3:B21">
    <cfRule type="top10" dxfId="8" priority="46" bottom="1" rank="1"/>
  </conditionalFormatting>
  <conditionalFormatting sqref="C3:C21">
    <cfRule type="top10" dxfId="7" priority="117" rank="1"/>
  </conditionalFormatting>
  <conditionalFormatting sqref="D3:D21 D24:D27">
    <cfRule type="top10" dxfId="6" priority="6" bottom="1" rank="1"/>
  </conditionalFormatting>
  <conditionalFormatting sqref="E3:E21">
    <cfRule type="top10" dxfId="5" priority="3" rank="1"/>
  </conditionalFormatting>
  <conditionalFormatting sqref="E23">
    <cfRule type="top10" dxfId="4" priority="14" rank="1"/>
  </conditionalFormatting>
  <conditionalFormatting sqref="F3:F21">
    <cfRule type="top10" dxfId="3" priority="5" bottom="1" rank="1"/>
  </conditionalFormatting>
  <conditionalFormatting sqref="G3:G21">
    <cfRule type="top10" dxfId="2" priority="2" rank="1"/>
  </conditionalFormatting>
  <conditionalFormatting sqref="H3:H21">
    <cfRule type="top10" dxfId="1" priority="4" bottom="1" rank="1"/>
  </conditionalFormatting>
  <conditionalFormatting sqref="I3:I21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zoomScale="85" zoomScaleNormal="90" workbookViewId="0">
      <pane ySplit="1" topLeftCell="A122" activePane="bottomLeft" state="frozen"/>
      <selection pane="bottomLeft" activeCell="I127" sqref="I127:J151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5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5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5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5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5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5" x14ac:dyDescent="0.55000000000000004">
      <c r="A102" s="6" t="s">
        <v>39</v>
      </c>
      <c r="B102" s="6">
        <v>7.76</v>
      </c>
      <c r="C102" s="5">
        <f>B102-L102</f>
        <v>2.2699999999999996</v>
      </c>
      <c r="D102" s="5">
        <f>B102+L102</f>
        <v>13.25</v>
      </c>
      <c r="E102" s="5">
        <v>2.27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77</v>
      </c>
      <c r="L102">
        <v>5.49</v>
      </c>
      <c r="N102" s="6"/>
      <c r="O102" s="5"/>
    </row>
    <row r="103" spans="1:15" x14ac:dyDescent="0.55000000000000004">
      <c r="A103" s="6" t="s">
        <v>27</v>
      </c>
      <c r="B103" s="6">
        <v>7.95</v>
      </c>
      <c r="C103" s="5">
        <f t="shared" ref="C103:C126" si="8">B103-L103</f>
        <v>2.46</v>
      </c>
      <c r="D103" s="5">
        <f t="shared" ref="D103:D126" si="9">B103+L103</f>
        <v>13.440000000000001</v>
      </c>
      <c r="E103" s="5">
        <v>7.95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77</v>
      </c>
      <c r="L103">
        <v>5.49</v>
      </c>
      <c r="N103" s="6"/>
      <c r="O103" s="5"/>
    </row>
    <row r="104" spans="1:15" x14ac:dyDescent="0.55000000000000004">
      <c r="A104" s="6" t="s">
        <v>33</v>
      </c>
      <c r="B104" s="6">
        <v>8.18</v>
      </c>
      <c r="C104" s="5">
        <f t="shared" si="8"/>
        <v>2.6899999999999995</v>
      </c>
      <c r="D104" s="5">
        <f t="shared" si="9"/>
        <v>13.67</v>
      </c>
      <c r="E104" s="5">
        <v>2.69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77</v>
      </c>
      <c r="L104">
        <v>5.49</v>
      </c>
      <c r="N104" s="6"/>
      <c r="O104" s="5"/>
    </row>
    <row r="105" spans="1:15" x14ac:dyDescent="0.55000000000000004">
      <c r="A105" s="6" t="s">
        <v>36</v>
      </c>
      <c r="B105" s="6">
        <v>8.5</v>
      </c>
      <c r="C105" s="5">
        <f t="shared" si="8"/>
        <v>3.01</v>
      </c>
      <c r="D105" s="5">
        <f t="shared" si="9"/>
        <v>13.99</v>
      </c>
      <c r="E105" s="5">
        <v>8.5</v>
      </c>
      <c r="F105">
        <v>4</v>
      </c>
      <c r="G105" s="8">
        <v>8</v>
      </c>
      <c r="H105" s="8">
        <v>6</v>
      </c>
      <c r="I105" t="s">
        <v>88</v>
      </c>
      <c r="J105" t="s">
        <v>82</v>
      </c>
      <c r="K105" t="s">
        <v>77</v>
      </c>
      <c r="L105">
        <v>5.49</v>
      </c>
      <c r="N105" s="6"/>
      <c r="O105" s="5"/>
    </row>
    <row r="106" spans="1:15" x14ac:dyDescent="0.55000000000000004">
      <c r="A106" s="6" t="s">
        <v>37</v>
      </c>
      <c r="B106" s="6">
        <v>9.1</v>
      </c>
      <c r="C106" s="5">
        <f t="shared" si="8"/>
        <v>3.6099999999999994</v>
      </c>
      <c r="D106" s="5">
        <f t="shared" si="9"/>
        <v>14.59</v>
      </c>
      <c r="E106" s="5">
        <v>9.1</v>
      </c>
      <c r="F106">
        <v>5</v>
      </c>
      <c r="G106" s="8">
        <v>9</v>
      </c>
      <c r="H106" s="8">
        <v>14</v>
      </c>
      <c r="I106" t="s">
        <v>88</v>
      </c>
      <c r="J106" t="s">
        <v>82</v>
      </c>
      <c r="K106" t="s">
        <v>77</v>
      </c>
      <c r="L106">
        <v>5.49</v>
      </c>
      <c r="N106" s="6"/>
      <c r="O106" s="5"/>
    </row>
    <row r="107" spans="1:15" x14ac:dyDescent="0.55000000000000004">
      <c r="A107" s="6" t="s">
        <v>38</v>
      </c>
      <c r="B107" s="6">
        <v>9.2799999999999994</v>
      </c>
      <c r="C107" s="5">
        <f t="shared" si="8"/>
        <v>3.7899999999999991</v>
      </c>
      <c r="D107" s="5">
        <f t="shared" si="9"/>
        <v>14.77</v>
      </c>
      <c r="E107" s="5">
        <v>3.79</v>
      </c>
      <c r="F107">
        <v>6</v>
      </c>
      <c r="G107" s="8">
        <v>3</v>
      </c>
      <c r="H107" s="8">
        <v>5</v>
      </c>
      <c r="I107" t="s">
        <v>88</v>
      </c>
      <c r="J107" t="s">
        <v>82</v>
      </c>
      <c r="K107" t="s">
        <v>77</v>
      </c>
      <c r="L107">
        <v>5.49</v>
      </c>
      <c r="N107" s="6"/>
      <c r="O107" s="5"/>
    </row>
    <row r="108" spans="1:15" x14ac:dyDescent="0.55000000000000004">
      <c r="A108" s="6" t="s">
        <v>34</v>
      </c>
      <c r="B108" s="6">
        <v>9.81</v>
      </c>
      <c r="C108" s="5">
        <f t="shared" si="8"/>
        <v>4.32</v>
      </c>
      <c r="D108" s="5">
        <f t="shared" si="9"/>
        <v>15.3</v>
      </c>
      <c r="E108" s="5">
        <v>4.32</v>
      </c>
      <c r="F108">
        <v>7</v>
      </c>
      <c r="G108" s="8">
        <v>4</v>
      </c>
      <c r="H108" s="8">
        <v>20</v>
      </c>
      <c r="I108" t="s">
        <v>88</v>
      </c>
      <c r="J108" t="s">
        <v>82</v>
      </c>
      <c r="K108" t="s">
        <v>77</v>
      </c>
      <c r="L108">
        <v>5.49</v>
      </c>
      <c r="N108" s="6"/>
      <c r="O108" s="5"/>
    </row>
    <row r="109" spans="1:15" x14ac:dyDescent="0.55000000000000004">
      <c r="A109" s="6" t="s">
        <v>25</v>
      </c>
      <c r="B109" s="6">
        <v>9.9600000000000009</v>
      </c>
      <c r="C109" s="5">
        <f t="shared" si="8"/>
        <v>4.4700000000000006</v>
      </c>
      <c r="D109" s="5">
        <f t="shared" si="9"/>
        <v>15.450000000000001</v>
      </c>
      <c r="E109" s="5">
        <v>9.9600000000000009</v>
      </c>
      <c r="F109">
        <v>8</v>
      </c>
      <c r="G109" s="8">
        <v>11</v>
      </c>
      <c r="H109" s="8">
        <v>24</v>
      </c>
      <c r="I109" t="s">
        <v>88</v>
      </c>
      <c r="J109" t="s">
        <v>82</v>
      </c>
      <c r="K109" t="s">
        <v>77</v>
      </c>
      <c r="L109">
        <v>5.49</v>
      </c>
      <c r="N109" s="6"/>
      <c r="O109" s="5"/>
    </row>
    <row r="110" spans="1:15" x14ac:dyDescent="0.55000000000000004">
      <c r="A110" s="6" t="s">
        <v>40</v>
      </c>
      <c r="B110" s="6">
        <v>10.36</v>
      </c>
      <c r="C110" s="5">
        <f t="shared" si="8"/>
        <v>4.8699999999999992</v>
      </c>
      <c r="D110" s="5">
        <f t="shared" si="9"/>
        <v>15.85</v>
      </c>
      <c r="E110" s="5">
        <v>4.87</v>
      </c>
      <c r="F110">
        <v>9</v>
      </c>
      <c r="G110" s="8">
        <v>5</v>
      </c>
      <c r="H110" s="8">
        <v>19</v>
      </c>
      <c r="I110" t="s">
        <v>88</v>
      </c>
      <c r="J110" t="s">
        <v>82</v>
      </c>
      <c r="K110" t="s">
        <v>77</v>
      </c>
      <c r="L110">
        <v>5.49</v>
      </c>
      <c r="N110" s="6"/>
      <c r="O110" s="5"/>
    </row>
    <row r="111" spans="1:15" x14ac:dyDescent="0.55000000000000004">
      <c r="A111" s="6" t="s">
        <v>35</v>
      </c>
      <c r="B111" s="6">
        <v>10.65</v>
      </c>
      <c r="C111" s="5">
        <f t="shared" si="8"/>
        <v>5.16</v>
      </c>
      <c r="D111" s="5">
        <f t="shared" si="9"/>
        <v>16.14</v>
      </c>
      <c r="E111" s="5">
        <v>5.16</v>
      </c>
      <c r="F111">
        <v>10</v>
      </c>
      <c r="G111" s="8">
        <v>6</v>
      </c>
      <c r="H111" s="8">
        <v>7</v>
      </c>
      <c r="I111" t="s">
        <v>88</v>
      </c>
      <c r="J111" t="s">
        <v>82</v>
      </c>
      <c r="K111" t="s">
        <v>77</v>
      </c>
      <c r="L111">
        <v>5.49</v>
      </c>
      <c r="N111" s="6"/>
      <c r="O111" s="5"/>
    </row>
    <row r="112" spans="1:15" x14ac:dyDescent="0.55000000000000004">
      <c r="A112" s="6" t="s">
        <v>28</v>
      </c>
      <c r="B112" s="6">
        <v>10.85</v>
      </c>
      <c r="C112" s="5">
        <f t="shared" si="8"/>
        <v>5.3599999999999994</v>
      </c>
      <c r="D112" s="5">
        <f t="shared" si="9"/>
        <v>16.34</v>
      </c>
      <c r="E112" s="5">
        <v>10.85</v>
      </c>
      <c r="F112">
        <v>11</v>
      </c>
      <c r="G112" s="8">
        <v>12</v>
      </c>
      <c r="H112" s="8">
        <v>25</v>
      </c>
      <c r="I112" t="s">
        <v>88</v>
      </c>
      <c r="J112" t="s">
        <v>82</v>
      </c>
      <c r="K112" t="s">
        <v>77</v>
      </c>
      <c r="L112">
        <v>5.49</v>
      </c>
      <c r="N112" s="6"/>
      <c r="O112" s="5"/>
    </row>
    <row r="113" spans="1:15" x14ac:dyDescent="0.55000000000000004">
      <c r="A113" s="6" t="s">
        <v>45</v>
      </c>
      <c r="B113" s="6">
        <v>11.79</v>
      </c>
      <c r="C113" s="5">
        <f t="shared" si="8"/>
        <v>6.2999999999999989</v>
      </c>
      <c r="D113" s="5">
        <f t="shared" si="9"/>
        <v>17.28</v>
      </c>
      <c r="E113" s="5">
        <v>11.79</v>
      </c>
      <c r="F113">
        <v>12</v>
      </c>
      <c r="G113" s="8">
        <v>13</v>
      </c>
      <c r="H113" s="8">
        <v>9</v>
      </c>
      <c r="I113" t="s">
        <v>88</v>
      </c>
      <c r="J113" t="s">
        <v>82</v>
      </c>
      <c r="K113" t="s">
        <v>77</v>
      </c>
      <c r="L113">
        <v>5.49</v>
      </c>
      <c r="N113" s="6"/>
      <c r="O113" s="5"/>
    </row>
    <row r="114" spans="1:15" x14ac:dyDescent="0.55000000000000004">
      <c r="A114" s="6" t="s">
        <v>48</v>
      </c>
      <c r="B114" s="6">
        <v>11.81</v>
      </c>
      <c r="C114" s="5">
        <f t="shared" si="8"/>
        <v>6.32</v>
      </c>
      <c r="D114" s="5">
        <f t="shared" si="9"/>
        <v>17.3</v>
      </c>
      <c r="E114" s="5">
        <v>11.81</v>
      </c>
      <c r="F114">
        <v>13</v>
      </c>
      <c r="G114" s="8">
        <v>14</v>
      </c>
      <c r="H114" s="8">
        <v>10</v>
      </c>
      <c r="I114" t="s">
        <v>88</v>
      </c>
      <c r="J114" t="s">
        <v>82</v>
      </c>
      <c r="K114" t="s">
        <v>77</v>
      </c>
      <c r="L114">
        <v>5.49</v>
      </c>
      <c r="N114" s="6"/>
      <c r="O114" s="5"/>
    </row>
    <row r="115" spans="1:15" x14ac:dyDescent="0.55000000000000004">
      <c r="A115" s="6" t="s">
        <v>44</v>
      </c>
      <c r="B115" s="6">
        <v>12.17</v>
      </c>
      <c r="C115" s="5">
        <f t="shared" si="8"/>
        <v>6.68</v>
      </c>
      <c r="D115" s="5">
        <f t="shared" si="9"/>
        <v>17.66</v>
      </c>
      <c r="E115" s="5">
        <v>12.17</v>
      </c>
      <c r="F115">
        <v>14</v>
      </c>
      <c r="G115" s="8">
        <v>15</v>
      </c>
      <c r="H115" s="8">
        <v>2</v>
      </c>
      <c r="I115" t="s">
        <v>88</v>
      </c>
      <c r="J115" t="s">
        <v>82</v>
      </c>
      <c r="K115" t="s">
        <v>77</v>
      </c>
      <c r="L115">
        <v>5.49</v>
      </c>
      <c r="N115" s="6"/>
      <c r="O115" s="5"/>
    </row>
    <row r="116" spans="1:15" x14ac:dyDescent="0.55000000000000004">
      <c r="A116" s="6" t="s">
        <v>41</v>
      </c>
      <c r="B116" s="6">
        <v>12.49</v>
      </c>
      <c r="C116" s="5">
        <f t="shared" si="8"/>
        <v>7</v>
      </c>
      <c r="D116" s="5">
        <f t="shared" si="9"/>
        <v>17.98</v>
      </c>
      <c r="E116" s="5">
        <v>12.49</v>
      </c>
      <c r="F116">
        <v>15</v>
      </c>
      <c r="G116" s="8">
        <v>16</v>
      </c>
      <c r="H116" s="8">
        <v>8</v>
      </c>
      <c r="I116" t="s">
        <v>88</v>
      </c>
      <c r="J116" t="s">
        <v>82</v>
      </c>
      <c r="K116" t="s">
        <v>77</v>
      </c>
      <c r="L116">
        <v>5.49</v>
      </c>
      <c r="N116" s="6"/>
      <c r="O116" s="5"/>
    </row>
    <row r="117" spans="1:15" x14ac:dyDescent="0.55000000000000004">
      <c r="A117" s="6" t="s">
        <v>32</v>
      </c>
      <c r="B117" s="6">
        <v>14.34</v>
      </c>
      <c r="C117" s="5">
        <f t="shared" si="8"/>
        <v>8.85</v>
      </c>
      <c r="D117" s="5">
        <f t="shared" si="9"/>
        <v>19.829999999999998</v>
      </c>
      <c r="E117" s="5">
        <v>14.34</v>
      </c>
      <c r="F117">
        <v>16</v>
      </c>
      <c r="G117" s="8">
        <v>17</v>
      </c>
      <c r="H117" s="8">
        <v>11</v>
      </c>
      <c r="I117" t="s">
        <v>88</v>
      </c>
      <c r="J117" t="s">
        <v>82</v>
      </c>
      <c r="K117" t="s">
        <v>77</v>
      </c>
      <c r="L117">
        <v>5.49</v>
      </c>
      <c r="N117" s="6"/>
      <c r="O117" s="5"/>
    </row>
    <row r="118" spans="1:15" x14ac:dyDescent="0.55000000000000004">
      <c r="A118" s="6" t="s">
        <v>49</v>
      </c>
      <c r="B118" s="6">
        <v>14.41</v>
      </c>
      <c r="C118" s="5">
        <f t="shared" si="8"/>
        <v>8.92</v>
      </c>
      <c r="D118" s="5">
        <f t="shared" si="9"/>
        <v>19.899999999999999</v>
      </c>
      <c r="E118" s="5">
        <v>14.41</v>
      </c>
      <c r="F118">
        <v>17</v>
      </c>
      <c r="G118" s="8">
        <v>18</v>
      </c>
      <c r="H118" s="8">
        <v>13</v>
      </c>
      <c r="I118" t="s">
        <v>88</v>
      </c>
      <c r="J118" t="s">
        <v>82</v>
      </c>
      <c r="K118" t="s">
        <v>77</v>
      </c>
      <c r="L118">
        <v>5.49</v>
      </c>
      <c r="N118" s="6"/>
      <c r="O118" s="5"/>
    </row>
    <row r="119" spans="1:15" x14ac:dyDescent="0.55000000000000004">
      <c r="A119" s="6" t="s">
        <v>42</v>
      </c>
      <c r="B119" s="6">
        <v>14.42</v>
      </c>
      <c r="C119" s="5">
        <f t="shared" si="8"/>
        <v>8.93</v>
      </c>
      <c r="D119" s="5">
        <f t="shared" si="9"/>
        <v>19.91</v>
      </c>
      <c r="E119" s="5">
        <v>19.91</v>
      </c>
      <c r="F119">
        <v>18</v>
      </c>
      <c r="G119" s="8">
        <v>23</v>
      </c>
      <c r="H119" s="8">
        <v>15</v>
      </c>
      <c r="I119" t="s">
        <v>88</v>
      </c>
      <c r="J119" t="s">
        <v>82</v>
      </c>
      <c r="K119" t="s">
        <v>77</v>
      </c>
      <c r="L119">
        <v>5.49</v>
      </c>
      <c r="N119" s="6"/>
      <c r="O119" s="5"/>
    </row>
    <row r="120" spans="1:15" x14ac:dyDescent="0.55000000000000004">
      <c r="A120" s="6" t="s">
        <v>29</v>
      </c>
      <c r="B120" s="6">
        <v>14.55</v>
      </c>
      <c r="C120" s="5">
        <f t="shared" si="8"/>
        <v>9.06</v>
      </c>
      <c r="D120" s="5">
        <f t="shared" si="9"/>
        <v>20.04</v>
      </c>
      <c r="E120" s="5">
        <v>14.55</v>
      </c>
      <c r="F120">
        <v>19</v>
      </c>
      <c r="G120" s="8">
        <v>19</v>
      </c>
      <c r="H120" s="8">
        <v>18</v>
      </c>
      <c r="I120" t="s">
        <v>88</v>
      </c>
      <c r="J120" t="s">
        <v>82</v>
      </c>
      <c r="K120" t="s">
        <v>77</v>
      </c>
      <c r="L120">
        <v>5.49</v>
      </c>
      <c r="N120" s="6"/>
      <c r="O120" s="5"/>
    </row>
    <row r="121" spans="1:15" x14ac:dyDescent="0.55000000000000004">
      <c r="A121" s="6" t="s">
        <v>31</v>
      </c>
      <c r="B121" s="6">
        <v>14.66</v>
      </c>
      <c r="C121" s="5">
        <f t="shared" si="8"/>
        <v>9.17</v>
      </c>
      <c r="D121" s="5">
        <f t="shared" si="9"/>
        <v>20.149999999999999</v>
      </c>
      <c r="E121" s="5">
        <v>9.17</v>
      </c>
      <c r="F121">
        <v>20</v>
      </c>
      <c r="G121" s="8">
        <v>10</v>
      </c>
      <c r="H121" s="8">
        <v>21</v>
      </c>
      <c r="I121" t="s">
        <v>88</v>
      </c>
      <c r="J121" t="s">
        <v>82</v>
      </c>
      <c r="K121" t="s">
        <v>77</v>
      </c>
      <c r="L121">
        <v>5.49</v>
      </c>
      <c r="N121" s="6"/>
      <c r="O121" s="5"/>
    </row>
    <row r="122" spans="1:15" x14ac:dyDescent="0.55000000000000004">
      <c r="A122" s="6" t="s">
        <v>30</v>
      </c>
      <c r="B122" s="6">
        <v>14.86</v>
      </c>
      <c r="C122" s="5">
        <f t="shared" si="8"/>
        <v>9.3699999999999992</v>
      </c>
      <c r="D122" s="5">
        <f t="shared" si="9"/>
        <v>20.350000000000001</v>
      </c>
      <c r="E122" s="5">
        <v>14.86</v>
      </c>
      <c r="F122">
        <v>21</v>
      </c>
      <c r="G122" s="8">
        <v>20</v>
      </c>
      <c r="H122" s="8">
        <v>16</v>
      </c>
      <c r="I122" t="s">
        <v>88</v>
      </c>
      <c r="J122" t="s">
        <v>82</v>
      </c>
      <c r="K122" t="s">
        <v>77</v>
      </c>
      <c r="L122">
        <v>5.49</v>
      </c>
      <c r="N122" s="6"/>
      <c r="O122" s="5"/>
    </row>
    <row r="123" spans="1:15" x14ac:dyDescent="0.55000000000000004">
      <c r="A123" s="6" t="s">
        <v>26</v>
      </c>
      <c r="B123" s="6">
        <v>15.43</v>
      </c>
      <c r="C123" s="5">
        <f t="shared" si="8"/>
        <v>9.94</v>
      </c>
      <c r="D123" s="5">
        <f t="shared" si="9"/>
        <v>20.92</v>
      </c>
      <c r="E123" s="5">
        <v>15.43</v>
      </c>
      <c r="F123">
        <v>22</v>
      </c>
      <c r="G123" s="8">
        <v>21</v>
      </c>
      <c r="H123" s="8">
        <v>22</v>
      </c>
      <c r="I123" t="s">
        <v>88</v>
      </c>
      <c r="J123" t="s">
        <v>82</v>
      </c>
      <c r="K123" t="s">
        <v>77</v>
      </c>
      <c r="L123">
        <v>5.49</v>
      </c>
      <c r="N123" s="6"/>
      <c r="O123" s="5"/>
    </row>
    <row r="124" spans="1:15" x14ac:dyDescent="0.55000000000000004">
      <c r="A124" s="6" t="s">
        <v>47</v>
      </c>
      <c r="B124" s="6">
        <v>15.97</v>
      </c>
      <c r="C124" s="5">
        <f t="shared" si="8"/>
        <v>10.48</v>
      </c>
      <c r="D124" s="5">
        <f t="shared" si="9"/>
        <v>21.46</v>
      </c>
      <c r="E124" s="5">
        <v>21.46</v>
      </c>
      <c r="F124">
        <v>23</v>
      </c>
      <c r="G124" s="8">
        <v>24</v>
      </c>
      <c r="H124" s="8">
        <v>12</v>
      </c>
      <c r="I124" t="s">
        <v>88</v>
      </c>
      <c r="J124" t="s">
        <v>82</v>
      </c>
      <c r="K124" t="s">
        <v>77</v>
      </c>
      <c r="L124">
        <v>5.49</v>
      </c>
      <c r="N124" s="6"/>
      <c r="O124" s="5"/>
    </row>
    <row r="125" spans="1:15" x14ac:dyDescent="0.55000000000000004">
      <c r="A125" s="6" t="s">
        <v>46</v>
      </c>
      <c r="B125" s="6">
        <v>16.899999999999999</v>
      </c>
      <c r="C125" s="5">
        <f t="shared" si="8"/>
        <v>11.409999999999998</v>
      </c>
      <c r="D125" s="5">
        <f t="shared" si="9"/>
        <v>22.39</v>
      </c>
      <c r="E125" s="5">
        <v>16.899999999999999</v>
      </c>
      <c r="F125">
        <v>24</v>
      </c>
      <c r="G125" s="8">
        <v>22</v>
      </c>
      <c r="H125" s="8">
        <v>17</v>
      </c>
      <c r="I125" t="s">
        <v>88</v>
      </c>
      <c r="J125" t="s">
        <v>82</v>
      </c>
      <c r="K125" t="s">
        <v>77</v>
      </c>
      <c r="L125">
        <v>5.49</v>
      </c>
      <c r="N125" s="6"/>
      <c r="O125" s="5"/>
    </row>
    <row r="126" spans="1:15" x14ac:dyDescent="0.55000000000000004">
      <c r="A126" s="6" t="s">
        <v>43</v>
      </c>
      <c r="B126" s="6">
        <v>17.48</v>
      </c>
      <c r="C126" s="5">
        <f t="shared" si="8"/>
        <v>11.99</v>
      </c>
      <c r="D126" s="5">
        <f t="shared" si="9"/>
        <v>22.97</v>
      </c>
      <c r="E126" s="5">
        <v>22.97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77</v>
      </c>
      <c r="L126">
        <v>5.49</v>
      </c>
      <c r="N126" s="6"/>
      <c r="O126" s="5"/>
    </row>
    <row r="127" spans="1:15" x14ac:dyDescent="0.55000000000000004">
      <c r="F127">
        <v>1</v>
      </c>
      <c r="H127" s="8"/>
      <c r="I127" t="s">
        <v>89</v>
      </c>
      <c r="J127" t="s">
        <v>76</v>
      </c>
      <c r="K127" t="s">
        <v>77</v>
      </c>
      <c r="L127">
        <v>5.48</v>
      </c>
    </row>
    <row r="128" spans="1:15" x14ac:dyDescent="0.55000000000000004">
      <c r="F128">
        <v>2</v>
      </c>
      <c r="H128" s="8"/>
      <c r="I128" t="s">
        <v>89</v>
      </c>
      <c r="J128" t="s">
        <v>76</v>
      </c>
      <c r="K128" t="s">
        <v>77</v>
      </c>
      <c r="L128">
        <v>5.48</v>
      </c>
    </row>
    <row r="129" spans="6:12" x14ac:dyDescent="0.55000000000000004">
      <c r="F129">
        <v>3</v>
      </c>
      <c r="H129" s="8"/>
      <c r="I129" t="s">
        <v>89</v>
      </c>
      <c r="J129" t="s">
        <v>76</v>
      </c>
      <c r="K129" t="s">
        <v>77</v>
      </c>
      <c r="L129">
        <v>5.48</v>
      </c>
    </row>
    <row r="130" spans="6:12" x14ac:dyDescent="0.55000000000000004">
      <c r="F130">
        <v>4</v>
      </c>
      <c r="H130" s="8"/>
      <c r="I130" t="s">
        <v>89</v>
      </c>
      <c r="J130" t="s">
        <v>76</v>
      </c>
      <c r="K130" t="s">
        <v>77</v>
      </c>
      <c r="L130">
        <v>5.48</v>
      </c>
    </row>
    <row r="131" spans="6:12" x14ac:dyDescent="0.55000000000000004">
      <c r="F131">
        <v>5</v>
      </c>
      <c r="H131" s="8"/>
      <c r="I131" t="s">
        <v>89</v>
      </c>
      <c r="J131" t="s">
        <v>76</v>
      </c>
      <c r="K131" t="s">
        <v>77</v>
      </c>
      <c r="L131">
        <v>5.48</v>
      </c>
    </row>
    <row r="132" spans="6:12" x14ac:dyDescent="0.55000000000000004">
      <c r="F132">
        <v>6</v>
      </c>
      <c r="H132" s="8"/>
      <c r="I132" t="s">
        <v>89</v>
      </c>
      <c r="J132" t="s">
        <v>76</v>
      </c>
      <c r="K132" t="s">
        <v>77</v>
      </c>
      <c r="L132">
        <v>5.48</v>
      </c>
    </row>
    <row r="133" spans="6:12" x14ac:dyDescent="0.55000000000000004">
      <c r="F133">
        <v>7</v>
      </c>
      <c r="H133" s="8"/>
      <c r="I133" t="s">
        <v>89</v>
      </c>
      <c r="J133" t="s">
        <v>76</v>
      </c>
      <c r="K133" t="s">
        <v>77</v>
      </c>
      <c r="L133">
        <v>5.48</v>
      </c>
    </row>
    <row r="134" spans="6:12" x14ac:dyDescent="0.55000000000000004">
      <c r="F134">
        <v>8</v>
      </c>
      <c r="H134" s="8"/>
      <c r="I134" t="s">
        <v>89</v>
      </c>
      <c r="J134" t="s">
        <v>76</v>
      </c>
      <c r="K134" t="s">
        <v>77</v>
      </c>
      <c r="L134">
        <v>5.48</v>
      </c>
    </row>
    <row r="135" spans="6:12" x14ac:dyDescent="0.55000000000000004">
      <c r="F135">
        <v>9</v>
      </c>
      <c r="H135" s="8"/>
      <c r="I135" t="s">
        <v>89</v>
      </c>
      <c r="J135" t="s">
        <v>76</v>
      </c>
      <c r="K135" t="s">
        <v>77</v>
      </c>
      <c r="L135">
        <v>5.48</v>
      </c>
    </row>
    <row r="136" spans="6:12" x14ac:dyDescent="0.55000000000000004">
      <c r="F136">
        <v>10</v>
      </c>
      <c r="H136" s="8"/>
      <c r="I136" t="s">
        <v>89</v>
      </c>
      <c r="J136" t="s">
        <v>76</v>
      </c>
      <c r="K136" t="s">
        <v>77</v>
      </c>
      <c r="L136">
        <v>5.48</v>
      </c>
    </row>
    <row r="137" spans="6:12" x14ac:dyDescent="0.55000000000000004">
      <c r="F137">
        <v>11</v>
      </c>
      <c r="H137" s="8"/>
      <c r="I137" t="s">
        <v>89</v>
      </c>
      <c r="J137" t="s">
        <v>76</v>
      </c>
      <c r="K137" t="s">
        <v>77</v>
      </c>
      <c r="L137">
        <v>5.48</v>
      </c>
    </row>
    <row r="138" spans="6:12" x14ac:dyDescent="0.55000000000000004">
      <c r="F138">
        <v>12</v>
      </c>
      <c r="H138" s="8"/>
      <c r="I138" t="s">
        <v>89</v>
      </c>
      <c r="J138" t="s">
        <v>76</v>
      </c>
      <c r="K138" t="s">
        <v>77</v>
      </c>
      <c r="L138">
        <v>5.48</v>
      </c>
    </row>
    <row r="139" spans="6:12" x14ac:dyDescent="0.55000000000000004">
      <c r="F139">
        <v>13</v>
      </c>
      <c r="H139" s="8"/>
      <c r="I139" t="s">
        <v>89</v>
      </c>
      <c r="J139" t="s">
        <v>76</v>
      </c>
      <c r="K139" t="s">
        <v>77</v>
      </c>
      <c r="L139">
        <v>5.48</v>
      </c>
    </row>
    <row r="140" spans="6:12" x14ac:dyDescent="0.55000000000000004">
      <c r="F140">
        <v>14</v>
      </c>
      <c r="H140" s="8"/>
      <c r="I140" t="s">
        <v>89</v>
      </c>
      <c r="J140" t="s">
        <v>76</v>
      </c>
      <c r="K140" t="s">
        <v>77</v>
      </c>
      <c r="L140">
        <v>5.48</v>
      </c>
    </row>
    <row r="141" spans="6:12" x14ac:dyDescent="0.55000000000000004">
      <c r="F141">
        <v>15</v>
      </c>
      <c r="H141" s="8"/>
      <c r="I141" t="s">
        <v>89</v>
      </c>
      <c r="J141" t="s">
        <v>76</v>
      </c>
      <c r="K141" t="s">
        <v>77</v>
      </c>
      <c r="L141">
        <v>5.48</v>
      </c>
    </row>
    <row r="142" spans="6:12" x14ac:dyDescent="0.55000000000000004">
      <c r="F142">
        <v>16</v>
      </c>
      <c r="H142" s="8"/>
      <c r="I142" t="s">
        <v>89</v>
      </c>
      <c r="J142" t="s">
        <v>76</v>
      </c>
      <c r="K142" t="s">
        <v>77</v>
      </c>
      <c r="L142">
        <v>5.48</v>
      </c>
    </row>
    <row r="143" spans="6:12" x14ac:dyDescent="0.55000000000000004">
      <c r="F143">
        <v>17</v>
      </c>
      <c r="H143" s="8"/>
      <c r="I143" t="s">
        <v>89</v>
      </c>
      <c r="J143" t="s">
        <v>76</v>
      </c>
      <c r="K143" t="s">
        <v>77</v>
      </c>
      <c r="L143">
        <v>5.48</v>
      </c>
    </row>
    <row r="144" spans="6:12" x14ac:dyDescent="0.55000000000000004">
      <c r="F144">
        <v>18</v>
      </c>
      <c r="H144" s="8"/>
      <c r="I144" t="s">
        <v>89</v>
      </c>
      <c r="J144" t="s">
        <v>76</v>
      </c>
      <c r="K144" t="s">
        <v>77</v>
      </c>
      <c r="L144">
        <v>5.48</v>
      </c>
    </row>
    <row r="145" spans="6:12" x14ac:dyDescent="0.55000000000000004">
      <c r="F145">
        <v>19</v>
      </c>
      <c r="H145" s="8"/>
      <c r="I145" t="s">
        <v>89</v>
      </c>
      <c r="J145" t="s">
        <v>76</v>
      </c>
      <c r="K145" t="s">
        <v>77</v>
      </c>
      <c r="L145">
        <v>5.48</v>
      </c>
    </row>
    <row r="146" spans="6:12" x14ac:dyDescent="0.55000000000000004">
      <c r="F146">
        <v>20</v>
      </c>
      <c r="H146" s="8"/>
      <c r="I146" t="s">
        <v>89</v>
      </c>
      <c r="J146" t="s">
        <v>76</v>
      </c>
      <c r="K146" t="s">
        <v>77</v>
      </c>
      <c r="L146">
        <v>5.48</v>
      </c>
    </row>
    <row r="147" spans="6:12" x14ac:dyDescent="0.55000000000000004">
      <c r="F147">
        <v>21</v>
      </c>
      <c r="H147" s="8"/>
      <c r="I147" t="s">
        <v>89</v>
      </c>
      <c r="J147" t="s">
        <v>76</v>
      </c>
      <c r="K147" t="s">
        <v>77</v>
      </c>
      <c r="L147">
        <v>5.48</v>
      </c>
    </row>
    <row r="148" spans="6:12" x14ac:dyDescent="0.55000000000000004">
      <c r="F148">
        <v>22</v>
      </c>
      <c r="H148" s="8"/>
      <c r="I148" t="s">
        <v>89</v>
      </c>
      <c r="J148" t="s">
        <v>76</v>
      </c>
      <c r="K148" t="s">
        <v>77</v>
      </c>
      <c r="L148">
        <v>5.48</v>
      </c>
    </row>
    <row r="149" spans="6:12" x14ac:dyDescent="0.55000000000000004">
      <c r="F149">
        <v>23</v>
      </c>
      <c r="H149" s="8"/>
      <c r="I149" t="s">
        <v>89</v>
      </c>
      <c r="J149" t="s">
        <v>76</v>
      </c>
      <c r="K149" t="s">
        <v>77</v>
      </c>
      <c r="L149">
        <v>5.48</v>
      </c>
    </row>
    <row r="150" spans="6:12" x14ac:dyDescent="0.55000000000000004">
      <c r="F150">
        <v>24</v>
      </c>
      <c r="H150" s="8"/>
      <c r="I150" t="s">
        <v>89</v>
      </c>
      <c r="J150" t="s">
        <v>76</v>
      </c>
      <c r="K150" t="s">
        <v>77</v>
      </c>
      <c r="L150">
        <v>5.48</v>
      </c>
    </row>
    <row r="151" spans="6:12" x14ac:dyDescent="0.55000000000000004">
      <c r="F151">
        <v>25</v>
      </c>
      <c r="H151" s="8"/>
      <c r="I151" t="s">
        <v>89</v>
      </c>
      <c r="J151" t="s">
        <v>76</v>
      </c>
      <c r="K151" t="s">
        <v>77</v>
      </c>
      <c r="L151">
        <v>5.48</v>
      </c>
    </row>
    <row r="152" spans="6:12" x14ac:dyDescent="0.55000000000000004">
      <c r="H152" s="8"/>
    </row>
    <row r="153" spans="6:12" x14ac:dyDescent="0.55000000000000004">
      <c r="H153" s="8"/>
    </row>
    <row r="154" spans="6:12" x14ac:dyDescent="0.55000000000000004">
      <c r="H154" s="8"/>
    </row>
    <row r="155" spans="6:12" x14ac:dyDescent="0.55000000000000004">
      <c r="H155" s="8"/>
    </row>
    <row r="156" spans="6:12" x14ac:dyDescent="0.55000000000000004">
      <c r="H156" s="8"/>
    </row>
    <row r="157" spans="6:12" x14ac:dyDescent="0.55000000000000004">
      <c r="H157" s="8"/>
    </row>
    <row r="158" spans="6:12" x14ac:dyDescent="0.55000000000000004">
      <c r="H158" s="8"/>
    </row>
    <row r="159" spans="6:12" x14ac:dyDescent="0.55000000000000004">
      <c r="H159" s="8"/>
    </row>
    <row r="160" spans="6:12" x14ac:dyDescent="0.55000000000000004">
      <c r="H160" s="8"/>
    </row>
    <row r="161" spans="8:8" x14ac:dyDescent="0.55000000000000004">
      <c r="H161" s="8"/>
    </row>
    <row r="162" spans="8:8" x14ac:dyDescent="0.55000000000000004">
      <c r="H162" s="8"/>
    </row>
    <row r="163" spans="8:8" x14ac:dyDescent="0.55000000000000004">
      <c r="H163" s="8"/>
    </row>
    <row r="164" spans="8:8" x14ac:dyDescent="0.55000000000000004">
      <c r="H164" s="8"/>
    </row>
    <row r="165" spans="8:8" x14ac:dyDescent="0.55000000000000004">
      <c r="H165" s="8"/>
    </row>
    <row r="166" spans="8:8" x14ac:dyDescent="0.55000000000000004">
      <c r="H166" s="8"/>
    </row>
    <row r="167" spans="8:8" x14ac:dyDescent="0.55000000000000004">
      <c r="H167" s="8"/>
    </row>
    <row r="168" spans="8:8" x14ac:dyDescent="0.55000000000000004">
      <c r="H168" s="8"/>
    </row>
    <row r="169" spans="8:8" x14ac:dyDescent="0.55000000000000004">
      <c r="H169" s="8"/>
    </row>
    <row r="170" spans="8:8" x14ac:dyDescent="0.55000000000000004">
      <c r="H170" s="8"/>
    </row>
    <row r="171" spans="8:8" x14ac:dyDescent="0.55000000000000004">
      <c r="H171" s="8"/>
    </row>
    <row r="172" spans="8:8" x14ac:dyDescent="0.55000000000000004">
      <c r="H172" s="8"/>
    </row>
    <row r="173" spans="8:8" x14ac:dyDescent="0.55000000000000004">
      <c r="H173" s="8"/>
    </row>
    <row r="174" spans="8:8" x14ac:dyDescent="0.55000000000000004">
      <c r="H174" s="8"/>
    </row>
    <row r="175" spans="8:8" x14ac:dyDescent="0.55000000000000004">
      <c r="H175" s="8"/>
    </row>
    <row r="176" spans="8:8" x14ac:dyDescent="0.55000000000000004">
      <c r="H176" s="8"/>
    </row>
    <row r="177" spans="8:8" x14ac:dyDescent="0.55000000000000004">
      <c r="H177" s="8"/>
    </row>
    <row r="178" spans="8:8" x14ac:dyDescent="0.55000000000000004">
      <c r="H178" s="8"/>
    </row>
    <row r="179" spans="8:8" x14ac:dyDescent="0.55000000000000004">
      <c r="H179" s="8"/>
    </row>
    <row r="180" spans="8:8" x14ac:dyDescent="0.55000000000000004">
      <c r="H180" s="8"/>
    </row>
    <row r="181" spans="8:8" x14ac:dyDescent="0.55000000000000004">
      <c r="H181" s="8"/>
    </row>
    <row r="182" spans="8:8" x14ac:dyDescent="0.55000000000000004">
      <c r="H182" s="8"/>
    </row>
    <row r="183" spans="8:8" x14ac:dyDescent="0.55000000000000004">
      <c r="H183" s="8"/>
    </row>
    <row r="184" spans="8:8" x14ac:dyDescent="0.55000000000000004">
      <c r="H184" s="8"/>
    </row>
    <row r="185" spans="8:8" x14ac:dyDescent="0.55000000000000004">
      <c r="H185" s="8"/>
    </row>
    <row r="186" spans="8:8" x14ac:dyDescent="0.55000000000000004">
      <c r="H186" s="8"/>
    </row>
    <row r="187" spans="8:8" x14ac:dyDescent="0.55000000000000004">
      <c r="H187" s="8"/>
    </row>
    <row r="188" spans="8:8" x14ac:dyDescent="0.55000000000000004">
      <c r="H188" s="8"/>
    </row>
    <row r="189" spans="8:8" x14ac:dyDescent="0.55000000000000004">
      <c r="H189" s="8"/>
    </row>
    <row r="190" spans="8:8" x14ac:dyDescent="0.55000000000000004">
      <c r="H190" s="8"/>
    </row>
    <row r="191" spans="8:8" x14ac:dyDescent="0.55000000000000004">
      <c r="H191" s="8"/>
    </row>
    <row r="192" spans="8:8" x14ac:dyDescent="0.55000000000000004">
      <c r="H192" s="8"/>
    </row>
    <row r="193" spans="8:8" x14ac:dyDescent="0.55000000000000004">
      <c r="H193" s="8"/>
    </row>
    <row r="194" spans="8:8" x14ac:dyDescent="0.55000000000000004">
      <c r="H194" s="8"/>
    </row>
    <row r="195" spans="8:8" x14ac:dyDescent="0.55000000000000004">
      <c r="H195" s="8"/>
    </row>
    <row r="196" spans="8:8" x14ac:dyDescent="0.55000000000000004">
      <c r="H196" s="8"/>
    </row>
    <row r="197" spans="8:8" x14ac:dyDescent="0.55000000000000004">
      <c r="H197" s="8"/>
    </row>
    <row r="198" spans="8:8" x14ac:dyDescent="0.55000000000000004">
      <c r="H198" s="8"/>
    </row>
    <row r="199" spans="8:8" x14ac:dyDescent="0.55000000000000004">
      <c r="H199" s="8"/>
    </row>
    <row r="200" spans="8:8" x14ac:dyDescent="0.55000000000000004">
      <c r="H200" s="8"/>
    </row>
    <row r="201" spans="8:8" x14ac:dyDescent="0.55000000000000004">
      <c r="H201" s="8"/>
    </row>
    <row r="202" spans="8:8" x14ac:dyDescent="0.55000000000000004">
      <c r="H202" s="8"/>
    </row>
    <row r="203" spans="8:8" x14ac:dyDescent="0.55000000000000004">
      <c r="H203" s="8"/>
    </row>
    <row r="204" spans="8:8" x14ac:dyDescent="0.55000000000000004">
      <c r="H204" s="8"/>
    </row>
    <row r="205" spans="8:8" x14ac:dyDescent="0.55000000000000004">
      <c r="H205" s="8"/>
    </row>
    <row r="206" spans="8:8" x14ac:dyDescent="0.55000000000000004">
      <c r="H206" s="8"/>
    </row>
    <row r="207" spans="8:8" x14ac:dyDescent="0.55000000000000004">
      <c r="H207" s="8"/>
    </row>
    <row r="208" spans="8:8" x14ac:dyDescent="0.55000000000000004">
      <c r="H208" s="8"/>
    </row>
    <row r="209" spans="8:8" x14ac:dyDescent="0.55000000000000004">
      <c r="H209" s="8"/>
    </row>
    <row r="210" spans="8:8" x14ac:dyDescent="0.55000000000000004">
      <c r="H210" s="8"/>
    </row>
    <row r="211" spans="8:8" x14ac:dyDescent="0.55000000000000004">
      <c r="H211" s="8"/>
    </row>
    <row r="212" spans="8:8" x14ac:dyDescent="0.55000000000000004">
      <c r="H212" s="8"/>
    </row>
    <row r="213" spans="8:8" x14ac:dyDescent="0.55000000000000004">
      <c r="H213" s="8"/>
    </row>
    <row r="214" spans="8:8" x14ac:dyDescent="0.55000000000000004">
      <c r="H214" s="8"/>
    </row>
    <row r="215" spans="8:8" x14ac:dyDescent="0.55000000000000004">
      <c r="H215" s="8"/>
    </row>
    <row r="216" spans="8:8" x14ac:dyDescent="0.55000000000000004">
      <c r="H216" s="8"/>
    </row>
    <row r="217" spans="8:8" x14ac:dyDescent="0.55000000000000004">
      <c r="H217" s="8"/>
    </row>
    <row r="218" spans="8:8" x14ac:dyDescent="0.55000000000000004">
      <c r="H218" s="8"/>
    </row>
    <row r="219" spans="8:8" x14ac:dyDescent="0.55000000000000004">
      <c r="H219" s="8"/>
    </row>
    <row r="220" spans="8:8" x14ac:dyDescent="0.55000000000000004">
      <c r="H220" s="8"/>
    </row>
    <row r="221" spans="8:8" x14ac:dyDescent="0.55000000000000004">
      <c r="H221" s="8"/>
    </row>
    <row r="222" spans="8:8" x14ac:dyDescent="0.55000000000000004">
      <c r="H222" s="8"/>
    </row>
    <row r="223" spans="8:8" x14ac:dyDescent="0.55000000000000004">
      <c r="H223" s="8"/>
    </row>
    <row r="224" spans="8:8" x14ac:dyDescent="0.55000000000000004">
      <c r="H224" s="8"/>
    </row>
    <row r="225" spans="8:8" x14ac:dyDescent="0.55000000000000004">
      <c r="H225" s="8"/>
    </row>
    <row r="226" spans="8:8" x14ac:dyDescent="0.55000000000000004">
      <c r="H226" s="8"/>
    </row>
    <row r="227" spans="8:8" x14ac:dyDescent="0.55000000000000004">
      <c r="H227" s="8"/>
    </row>
    <row r="228" spans="8:8" x14ac:dyDescent="0.55000000000000004">
      <c r="H228" s="8"/>
    </row>
    <row r="229" spans="8:8" x14ac:dyDescent="0.55000000000000004">
      <c r="H229" s="8"/>
    </row>
    <row r="230" spans="8:8" x14ac:dyDescent="0.55000000000000004">
      <c r="H230" s="8"/>
    </row>
    <row r="231" spans="8:8" x14ac:dyDescent="0.55000000000000004">
      <c r="H231" s="8"/>
    </row>
    <row r="232" spans="8:8" x14ac:dyDescent="0.55000000000000004">
      <c r="H232" s="8"/>
    </row>
    <row r="233" spans="8:8" x14ac:dyDescent="0.55000000000000004">
      <c r="H233" s="8"/>
    </row>
    <row r="234" spans="8:8" x14ac:dyDescent="0.55000000000000004">
      <c r="H234" s="8"/>
    </row>
    <row r="235" spans="8:8" x14ac:dyDescent="0.55000000000000004">
      <c r="H235" s="8"/>
    </row>
    <row r="236" spans="8:8" x14ac:dyDescent="0.55000000000000004">
      <c r="H236" s="8"/>
    </row>
    <row r="237" spans="8:8" x14ac:dyDescent="0.55000000000000004">
      <c r="H237" s="8"/>
    </row>
    <row r="238" spans="8:8" x14ac:dyDescent="0.55000000000000004">
      <c r="H238" s="8"/>
    </row>
    <row r="239" spans="8:8" x14ac:dyDescent="0.55000000000000004">
      <c r="H239" s="8"/>
    </row>
    <row r="240" spans="8:8" x14ac:dyDescent="0.55000000000000004">
      <c r="H240" s="8"/>
    </row>
    <row r="241" spans="8:8" x14ac:dyDescent="0.55000000000000004">
      <c r="H241" s="8"/>
    </row>
    <row r="242" spans="8:8" x14ac:dyDescent="0.55000000000000004">
      <c r="H242" s="8"/>
    </row>
    <row r="243" spans="8:8" x14ac:dyDescent="0.55000000000000004">
      <c r="H243" s="8"/>
    </row>
    <row r="244" spans="8:8" x14ac:dyDescent="0.55000000000000004">
      <c r="H244" s="8"/>
    </row>
    <row r="245" spans="8:8" x14ac:dyDescent="0.55000000000000004">
      <c r="H245" s="8"/>
    </row>
    <row r="246" spans="8:8" x14ac:dyDescent="0.55000000000000004">
      <c r="H246" s="8"/>
    </row>
    <row r="247" spans="8:8" x14ac:dyDescent="0.55000000000000004">
      <c r="H247" s="8"/>
    </row>
    <row r="248" spans="8:8" x14ac:dyDescent="0.55000000000000004">
      <c r="H248" s="8"/>
    </row>
    <row r="249" spans="8:8" x14ac:dyDescent="0.55000000000000004">
      <c r="H249" s="8"/>
    </row>
    <row r="250" spans="8:8" x14ac:dyDescent="0.55000000000000004">
      <c r="H250" s="8"/>
    </row>
    <row r="251" spans="8:8" x14ac:dyDescent="0.55000000000000004">
      <c r="H251" s="8"/>
    </row>
    <row r="252" spans="8:8" x14ac:dyDescent="0.55000000000000004">
      <c r="H252" s="8"/>
    </row>
    <row r="253" spans="8:8" x14ac:dyDescent="0.55000000000000004">
      <c r="H253" s="8"/>
    </row>
    <row r="254" spans="8:8" x14ac:dyDescent="0.55000000000000004">
      <c r="H254" s="8"/>
    </row>
    <row r="255" spans="8:8" x14ac:dyDescent="0.55000000000000004">
      <c r="H255" s="8"/>
    </row>
    <row r="256" spans="8:8" x14ac:dyDescent="0.55000000000000004">
      <c r="H256" s="8"/>
    </row>
    <row r="257" spans="8:8" x14ac:dyDescent="0.55000000000000004">
      <c r="H257" s="8"/>
    </row>
    <row r="258" spans="8:8" x14ac:dyDescent="0.55000000000000004">
      <c r="H258" s="8"/>
    </row>
    <row r="259" spans="8:8" x14ac:dyDescent="0.55000000000000004">
      <c r="H259" s="8"/>
    </row>
    <row r="260" spans="8:8" x14ac:dyDescent="0.55000000000000004">
      <c r="H260" s="8"/>
    </row>
    <row r="261" spans="8:8" x14ac:dyDescent="0.55000000000000004">
      <c r="H261" s="8"/>
    </row>
    <row r="262" spans="8:8" x14ac:dyDescent="0.55000000000000004">
      <c r="H262" s="8"/>
    </row>
    <row r="263" spans="8:8" x14ac:dyDescent="0.55000000000000004">
      <c r="H263" s="8"/>
    </row>
    <row r="264" spans="8:8" x14ac:dyDescent="0.55000000000000004">
      <c r="H264" s="8"/>
    </row>
    <row r="265" spans="8:8" x14ac:dyDescent="0.55000000000000004">
      <c r="H265" s="8"/>
    </row>
    <row r="266" spans="8:8" x14ac:dyDescent="0.55000000000000004">
      <c r="H266" s="8"/>
    </row>
    <row r="267" spans="8:8" x14ac:dyDescent="0.55000000000000004">
      <c r="H267" s="8"/>
    </row>
    <row r="268" spans="8:8" x14ac:dyDescent="0.55000000000000004">
      <c r="H268" s="8"/>
    </row>
    <row r="269" spans="8:8" x14ac:dyDescent="0.55000000000000004">
      <c r="H269" s="8"/>
    </row>
    <row r="270" spans="8:8" x14ac:dyDescent="0.55000000000000004">
      <c r="H270" s="8"/>
    </row>
    <row r="271" spans="8:8" x14ac:dyDescent="0.55000000000000004">
      <c r="H271" s="8"/>
    </row>
    <row r="272" spans="8:8" x14ac:dyDescent="0.55000000000000004">
      <c r="H272" s="8"/>
    </row>
    <row r="273" spans="8:8" x14ac:dyDescent="0.55000000000000004">
      <c r="H273" s="8"/>
    </row>
    <row r="274" spans="8:8" x14ac:dyDescent="0.55000000000000004">
      <c r="H274" s="8"/>
    </row>
    <row r="275" spans="8:8" x14ac:dyDescent="0.55000000000000004">
      <c r="H275" s="8"/>
    </row>
    <row r="276" spans="8:8" x14ac:dyDescent="0.55000000000000004">
      <c r="H276" s="8"/>
    </row>
    <row r="277" spans="8:8" x14ac:dyDescent="0.55000000000000004">
      <c r="H277" s="8"/>
    </row>
    <row r="278" spans="8:8" x14ac:dyDescent="0.55000000000000004">
      <c r="H278" s="8"/>
    </row>
    <row r="279" spans="8:8" x14ac:dyDescent="0.55000000000000004">
      <c r="H279" s="8"/>
    </row>
    <row r="280" spans="8:8" x14ac:dyDescent="0.55000000000000004">
      <c r="H280" s="8"/>
    </row>
    <row r="281" spans="8:8" x14ac:dyDescent="0.55000000000000004">
      <c r="H281" s="8"/>
    </row>
    <row r="282" spans="8:8" x14ac:dyDescent="0.55000000000000004">
      <c r="H282" s="8"/>
    </row>
    <row r="283" spans="8:8" x14ac:dyDescent="0.55000000000000004">
      <c r="H283" s="8"/>
    </row>
    <row r="284" spans="8:8" x14ac:dyDescent="0.55000000000000004">
      <c r="H284" s="8"/>
    </row>
    <row r="285" spans="8:8" x14ac:dyDescent="0.55000000000000004">
      <c r="H285" s="8"/>
    </row>
    <row r="286" spans="8:8" x14ac:dyDescent="0.55000000000000004">
      <c r="H286" s="8"/>
    </row>
    <row r="287" spans="8:8" x14ac:dyDescent="0.55000000000000004">
      <c r="H287" s="8"/>
    </row>
    <row r="288" spans="8:8" x14ac:dyDescent="0.55000000000000004">
      <c r="H288" s="8"/>
    </row>
    <row r="289" spans="8:8" x14ac:dyDescent="0.55000000000000004">
      <c r="H289" s="8"/>
    </row>
    <row r="290" spans="8:8" x14ac:dyDescent="0.55000000000000004">
      <c r="H290" s="8"/>
    </row>
    <row r="291" spans="8:8" x14ac:dyDescent="0.55000000000000004">
      <c r="H291" s="8"/>
    </row>
    <row r="292" spans="8:8" x14ac:dyDescent="0.55000000000000004">
      <c r="H292" s="8"/>
    </row>
    <row r="293" spans="8:8" x14ac:dyDescent="0.55000000000000004">
      <c r="H293" s="8"/>
    </row>
    <row r="294" spans="8:8" x14ac:dyDescent="0.55000000000000004">
      <c r="H294" s="8"/>
    </row>
    <row r="295" spans="8:8" x14ac:dyDescent="0.55000000000000004">
      <c r="H295" s="8"/>
    </row>
    <row r="296" spans="8:8" x14ac:dyDescent="0.55000000000000004">
      <c r="H296" s="8"/>
    </row>
    <row r="297" spans="8:8" x14ac:dyDescent="0.55000000000000004">
      <c r="H297" s="8"/>
    </row>
    <row r="298" spans="8:8" x14ac:dyDescent="0.55000000000000004">
      <c r="H298" s="8"/>
    </row>
    <row r="299" spans="8:8" x14ac:dyDescent="0.55000000000000004">
      <c r="H299" s="8"/>
    </row>
    <row r="300" spans="8:8" x14ac:dyDescent="0.55000000000000004">
      <c r="H300" s="8"/>
    </row>
    <row r="301" spans="8:8" x14ac:dyDescent="0.55000000000000004">
      <c r="H301" s="8"/>
    </row>
    <row r="302" spans="8:8" x14ac:dyDescent="0.55000000000000004">
      <c r="H302" s="8"/>
    </row>
    <row r="303" spans="8:8" x14ac:dyDescent="0.55000000000000004">
      <c r="H303" s="8"/>
    </row>
    <row r="304" spans="8:8" x14ac:dyDescent="0.55000000000000004">
      <c r="H304" s="8"/>
    </row>
    <row r="305" spans="8:8" x14ac:dyDescent="0.55000000000000004">
      <c r="H305" s="8"/>
    </row>
    <row r="306" spans="8:8" x14ac:dyDescent="0.55000000000000004">
      <c r="H306" s="8"/>
    </row>
    <row r="307" spans="8:8" x14ac:dyDescent="0.55000000000000004">
      <c r="H307" s="8"/>
    </row>
    <row r="308" spans="8:8" x14ac:dyDescent="0.55000000000000004">
      <c r="H308" s="8"/>
    </row>
    <row r="309" spans="8:8" x14ac:dyDescent="0.55000000000000004">
      <c r="H309" s="8"/>
    </row>
    <row r="310" spans="8:8" x14ac:dyDescent="0.55000000000000004">
      <c r="H310" s="8"/>
    </row>
    <row r="311" spans="8:8" x14ac:dyDescent="0.55000000000000004">
      <c r="H311" s="8"/>
    </row>
    <row r="312" spans="8:8" x14ac:dyDescent="0.55000000000000004">
      <c r="H312" s="8"/>
    </row>
    <row r="313" spans="8:8" x14ac:dyDescent="0.55000000000000004">
      <c r="H313" s="8"/>
    </row>
    <row r="314" spans="8:8" x14ac:dyDescent="0.55000000000000004">
      <c r="H314" s="8"/>
    </row>
    <row r="315" spans="8:8" x14ac:dyDescent="0.55000000000000004">
      <c r="H315" s="8"/>
    </row>
    <row r="316" spans="8:8" x14ac:dyDescent="0.55000000000000004">
      <c r="H316" s="8"/>
    </row>
    <row r="317" spans="8:8" x14ac:dyDescent="0.55000000000000004">
      <c r="H317" s="8"/>
    </row>
    <row r="318" spans="8:8" x14ac:dyDescent="0.55000000000000004">
      <c r="H318" s="8"/>
    </row>
    <row r="319" spans="8:8" x14ac:dyDescent="0.55000000000000004">
      <c r="H319" s="8"/>
    </row>
    <row r="320" spans="8:8" x14ac:dyDescent="0.55000000000000004">
      <c r="H320" s="8"/>
    </row>
    <row r="321" spans="8:8" x14ac:dyDescent="0.55000000000000004">
      <c r="H321" s="8"/>
    </row>
    <row r="322" spans="8:8" x14ac:dyDescent="0.55000000000000004">
      <c r="H322" s="8"/>
    </row>
    <row r="323" spans="8:8" x14ac:dyDescent="0.55000000000000004">
      <c r="H323" s="8"/>
    </row>
    <row r="324" spans="8:8" x14ac:dyDescent="0.55000000000000004">
      <c r="H324" s="8"/>
    </row>
    <row r="325" spans="8:8" x14ac:dyDescent="0.55000000000000004">
      <c r="H325" s="8"/>
    </row>
    <row r="326" spans="8:8" x14ac:dyDescent="0.55000000000000004">
      <c r="H326" s="8"/>
    </row>
    <row r="327" spans="8:8" x14ac:dyDescent="0.55000000000000004">
      <c r="H327" s="8"/>
    </row>
    <row r="328" spans="8:8" x14ac:dyDescent="0.55000000000000004">
      <c r="H328" s="8"/>
    </row>
    <row r="329" spans="8:8" x14ac:dyDescent="0.55000000000000004">
      <c r="H329" s="8"/>
    </row>
    <row r="330" spans="8:8" x14ac:dyDescent="0.55000000000000004">
      <c r="H330" s="8"/>
    </row>
    <row r="331" spans="8:8" x14ac:dyDescent="0.55000000000000004">
      <c r="H331" s="8"/>
    </row>
    <row r="332" spans="8:8" x14ac:dyDescent="0.55000000000000004">
      <c r="H332" s="8"/>
    </row>
    <row r="333" spans="8:8" x14ac:dyDescent="0.55000000000000004">
      <c r="H333" s="8"/>
    </row>
    <row r="334" spans="8:8" x14ac:dyDescent="0.55000000000000004">
      <c r="H334" s="8"/>
    </row>
    <row r="335" spans="8:8" x14ac:dyDescent="0.55000000000000004">
      <c r="H335" s="8"/>
    </row>
    <row r="336" spans="8:8" x14ac:dyDescent="0.55000000000000004">
      <c r="H336" s="8"/>
    </row>
    <row r="337" spans="8:8" x14ac:dyDescent="0.55000000000000004">
      <c r="H337" s="8"/>
    </row>
    <row r="338" spans="8:8" x14ac:dyDescent="0.55000000000000004">
      <c r="H338" s="8"/>
    </row>
    <row r="339" spans="8:8" x14ac:dyDescent="0.55000000000000004">
      <c r="H339" s="8"/>
    </row>
    <row r="340" spans="8:8" x14ac:dyDescent="0.55000000000000004">
      <c r="H340" s="8"/>
    </row>
    <row r="341" spans="8:8" x14ac:dyDescent="0.55000000000000004">
      <c r="H341" s="8"/>
    </row>
    <row r="342" spans="8:8" x14ac:dyDescent="0.55000000000000004">
      <c r="H342" s="8"/>
    </row>
    <row r="343" spans="8:8" x14ac:dyDescent="0.55000000000000004">
      <c r="H343" s="8"/>
    </row>
    <row r="344" spans="8:8" x14ac:dyDescent="0.55000000000000004">
      <c r="H344" s="8"/>
    </row>
    <row r="345" spans="8:8" x14ac:dyDescent="0.55000000000000004">
      <c r="H345" s="8"/>
    </row>
    <row r="346" spans="8:8" x14ac:dyDescent="0.55000000000000004">
      <c r="H346" s="8"/>
    </row>
    <row r="347" spans="8:8" x14ac:dyDescent="0.55000000000000004">
      <c r="H347" s="8"/>
    </row>
    <row r="348" spans="8:8" x14ac:dyDescent="0.55000000000000004">
      <c r="H348" s="8"/>
    </row>
    <row r="349" spans="8:8" x14ac:dyDescent="0.55000000000000004">
      <c r="H349" s="8"/>
    </row>
    <row r="350" spans="8:8" x14ac:dyDescent="0.55000000000000004">
      <c r="H350" s="8"/>
    </row>
    <row r="351" spans="8:8" x14ac:dyDescent="0.55000000000000004">
      <c r="H351" s="8"/>
    </row>
    <row r="352" spans="8:8" x14ac:dyDescent="0.55000000000000004">
      <c r="H352" s="8"/>
    </row>
    <row r="353" spans="8:8" x14ac:dyDescent="0.55000000000000004">
      <c r="H353" s="8"/>
    </row>
    <row r="354" spans="8:8" x14ac:dyDescent="0.55000000000000004">
      <c r="H354" s="8"/>
    </row>
    <row r="355" spans="8:8" x14ac:dyDescent="0.55000000000000004">
      <c r="H355" s="8"/>
    </row>
    <row r="356" spans="8:8" x14ac:dyDescent="0.55000000000000004">
      <c r="H356" s="8"/>
    </row>
    <row r="357" spans="8:8" x14ac:dyDescent="0.55000000000000004">
      <c r="H357" s="8"/>
    </row>
  </sheetData>
  <sortState xmlns:xlrd2="http://schemas.microsoft.com/office/spreadsheetml/2017/richdata2" ref="N102:O126">
    <sortCondition ref="O102:O126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151"/>
  <sheetViews>
    <sheetView tabSelected="1" workbookViewId="0">
      <pane ySplit="1" topLeftCell="A121" activePane="bottomLeft" state="frozen"/>
      <selection pane="bottomLeft" activeCell="N136" sqref="N136"/>
    </sheetView>
  </sheetViews>
  <sheetFormatPr defaultRowHeight="14.4" x14ac:dyDescent="0.55000000000000004"/>
  <cols>
    <col min="1" max="1" width="17.20703125" bestFit="1" customWidth="1"/>
    <col min="2" max="2" width="8.47265625" bestFit="1" customWidth="1"/>
    <col min="3" max="3" width="8.05078125" customWidth="1"/>
    <col min="5" max="5" width="10.68359375" bestFit="1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12.34</v>
      </c>
      <c r="D101" s="5">
        <f t="shared" si="5"/>
        <v>22.74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5.2</v>
      </c>
      <c r="N101" s="6"/>
      <c r="O101" s="5"/>
    </row>
    <row r="102" spans="1:15" x14ac:dyDescent="0.55000000000000004">
      <c r="A102" s="6" t="s">
        <v>39</v>
      </c>
      <c r="B102" s="6">
        <v>6.11</v>
      </c>
      <c r="C102" s="5">
        <f>B102-L102</f>
        <v>0.97000000000000064</v>
      </c>
      <c r="D102" s="5">
        <f>B102+L102</f>
        <v>11.25</v>
      </c>
      <c r="E102" s="5">
        <v>0.97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86</v>
      </c>
      <c r="L102" s="5">
        <v>5.14</v>
      </c>
      <c r="N102" s="6"/>
      <c r="O102" s="5"/>
    </row>
    <row r="103" spans="1:15" x14ac:dyDescent="0.55000000000000004">
      <c r="A103" s="6" t="s">
        <v>27</v>
      </c>
      <c r="B103" s="6">
        <v>6.82</v>
      </c>
      <c r="C103" s="5">
        <f t="shared" ref="C103:C126" si="7">B103-L103</f>
        <v>1.6800000000000006</v>
      </c>
      <c r="D103" s="5">
        <f t="shared" ref="D103:D126" si="8">B103+L103</f>
        <v>11.96</v>
      </c>
      <c r="E103" s="5">
        <v>6.82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86</v>
      </c>
      <c r="L103" s="5">
        <v>5.14</v>
      </c>
      <c r="N103" s="6"/>
      <c r="O103" s="5"/>
    </row>
    <row r="104" spans="1:15" x14ac:dyDescent="0.55000000000000004">
      <c r="A104" s="6" t="s">
        <v>33</v>
      </c>
      <c r="B104" s="6">
        <v>6.93</v>
      </c>
      <c r="C104" s="5">
        <f t="shared" si="7"/>
        <v>1.79</v>
      </c>
      <c r="D104" s="5">
        <f t="shared" si="8"/>
        <v>12.07</v>
      </c>
      <c r="E104" s="5">
        <v>1.79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86</v>
      </c>
      <c r="L104" s="5">
        <v>5.14</v>
      </c>
      <c r="N104" s="6"/>
      <c r="O104" s="5"/>
    </row>
    <row r="105" spans="1:15" x14ac:dyDescent="0.55000000000000004">
      <c r="A105" s="6" t="s">
        <v>38</v>
      </c>
      <c r="B105" s="6">
        <v>7.73</v>
      </c>
      <c r="C105" s="5">
        <f t="shared" si="7"/>
        <v>2.5900000000000007</v>
      </c>
      <c r="D105" s="5">
        <f t="shared" si="8"/>
        <v>12.870000000000001</v>
      </c>
      <c r="E105" s="5">
        <v>2.59</v>
      </c>
      <c r="F105">
        <v>4</v>
      </c>
      <c r="G105" s="8">
        <v>3</v>
      </c>
      <c r="H105" s="8">
        <v>5</v>
      </c>
      <c r="I105" t="s">
        <v>88</v>
      </c>
      <c r="J105" t="s">
        <v>82</v>
      </c>
      <c r="K105" t="s">
        <v>86</v>
      </c>
      <c r="L105" s="5">
        <v>5.14</v>
      </c>
      <c r="N105" s="6"/>
      <c r="O105" s="5"/>
    </row>
    <row r="106" spans="1:15" x14ac:dyDescent="0.55000000000000004">
      <c r="A106" s="6" t="s">
        <v>36</v>
      </c>
      <c r="B106" s="6">
        <v>8.82</v>
      </c>
      <c r="C106" s="5">
        <f t="shared" si="7"/>
        <v>3.6800000000000006</v>
      </c>
      <c r="D106" s="5">
        <f t="shared" si="8"/>
        <v>13.96</v>
      </c>
      <c r="E106" s="5">
        <v>8.82</v>
      </c>
      <c r="F106">
        <v>5</v>
      </c>
      <c r="G106" s="8">
        <v>8</v>
      </c>
      <c r="H106" s="8">
        <v>6</v>
      </c>
      <c r="I106" t="s">
        <v>88</v>
      </c>
      <c r="J106" t="s">
        <v>82</v>
      </c>
      <c r="K106" t="s">
        <v>86</v>
      </c>
      <c r="L106" s="5">
        <v>5.14</v>
      </c>
      <c r="N106" s="6"/>
      <c r="O106" s="5"/>
    </row>
    <row r="107" spans="1:15" x14ac:dyDescent="0.55000000000000004">
      <c r="A107" s="6" t="s">
        <v>40</v>
      </c>
      <c r="B107" s="6">
        <v>8.84</v>
      </c>
      <c r="C107" s="5">
        <f t="shared" si="7"/>
        <v>3.7</v>
      </c>
      <c r="D107" s="5">
        <f t="shared" si="8"/>
        <v>13.98</v>
      </c>
      <c r="E107" s="5">
        <v>8.84</v>
      </c>
      <c r="F107">
        <v>6</v>
      </c>
      <c r="G107" s="8">
        <v>9</v>
      </c>
      <c r="H107" s="8">
        <v>19</v>
      </c>
      <c r="I107" t="s">
        <v>88</v>
      </c>
      <c r="J107" t="s">
        <v>82</v>
      </c>
      <c r="K107" t="s">
        <v>86</v>
      </c>
      <c r="L107" s="5">
        <v>5.14</v>
      </c>
      <c r="N107" s="6"/>
      <c r="O107" s="5"/>
    </row>
    <row r="108" spans="1:15" x14ac:dyDescent="0.55000000000000004">
      <c r="A108" s="6" t="s">
        <v>44</v>
      </c>
      <c r="B108" s="6">
        <v>9.17</v>
      </c>
      <c r="C108" s="5">
        <f t="shared" si="7"/>
        <v>4.03</v>
      </c>
      <c r="D108" s="5">
        <f t="shared" si="8"/>
        <v>14.309999999999999</v>
      </c>
      <c r="E108" s="5">
        <v>4.03</v>
      </c>
      <c r="F108">
        <v>7</v>
      </c>
      <c r="G108" s="8">
        <v>4</v>
      </c>
      <c r="H108" s="8">
        <v>2</v>
      </c>
      <c r="I108" t="s">
        <v>88</v>
      </c>
      <c r="J108" t="s">
        <v>82</v>
      </c>
      <c r="K108" t="s">
        <v>86</v>
      </c>
      <c r="L108" s="5">
        <v>5.14</v>
      </c>
      <c r="N108" s="6"/>
      <c r="O108" s="5"/>
    </row>
    <row r="109" spans="1:15" x14ac:dyDescent="0.55000000000000004">
      <c r="A109" s="6" t="s">
        <v>35</v>
      </c>
      <c r="B109" s="6">
        <v>9.33</v>
      </c>
      <c r="C109" s="5">
        <f t="shared" si="7"/>
        <v>4.1900000000000004</v>
      </c>
      <c r="D109" s="5">
        <f t="shared" si="8"/>
        <v>14.469999999999999</v>
      </c>
      <c r="E109" s="5">
        <v>4.1900000000000004</v>
      </c>
      <c r="F109">
        <v>8</v>
      </c>
      <c r="G109" s="8">
        <v>5</v>
      </c>
      <c r="H109" s="8">
        <v>7</v>
      </c>
      <c r="I109" t="s">
        <v>88</v>
      </c>
      <c r="J109" t="s">
        <v>82</v>
      </c>
      <c r="K109" t="s">
        <v>86</v>
      </c>
      <c r="L109" s="5">
        <v>5.14</v>
      </c>
      <c r="N109" s="6"/>
      <c r="O109" s="5"/>
    </row>
    <row r="110" spans="1:15" x14ac:dyDescent="0.55000000000000004">
      <c r="A110" s="6" t="s">
        <v>37</v>
      </c>
      <c r="B110" s="6">
        <v>10.39</v>
      </c>
      <c r="C110" s="5">
        <f t="shared" si="7"/>
        <v>5.2500000000000009</v>
      </c>
      <c r="D110" s="5">
        <f t="shared" si="8"/>
        <v>15.530000000000001</v>
      </c>
      <c r="E110" s="5">
        <v>10.39</v>
      </c>
      <c r="F110">
        <v>9</v>
      </c>
      <c r="G110" s="8">
        <v>10</v>
      </c>
      <c r="H110" s="8">
        <v>14</v>
      </c>
      <c r="I110" t="s">
        <v>88</v>
      </c>
      <c r="J110" t="s">
        <v>82</v>
      </c>
      <c r="K110" t="s">
        <v>86</v>
      </c>
      <c r="L110" s="5">
        <v>5.14</v>
      </c>
      <c r="N110" s="6"/>
      <c r="O110" s="5"/>
    </row>
    <row r="111" spans="1:15" x14ac:dyDescent="0.55000000000000004">
      <c r="A111" s="6" t="s">
        <v>48</v>
      </c>
      <c r="B111" s="6">
        <v>10.63</v>
      </c>
      <c r="C111" s="5">
        <f t="shared" si="7"/>
        <v>5.4900000000000011</v>
      </c>
      <c r="D111" s="5">
        <f t="shared" si="8"/>
        <v>15.77</v>
      </c>
      <c r="E111" s="5">
        <v>10.63</v>
      </c>
      <c r="F111">
        <v>10</v>
      </c>
      <c r="G111" s="8">
        <v>11</v>
      </c>
      <c r="H111" s="8">
        <v>10</v>
      </c>
      <c r="I111" t="s">
        <v>88</v>
      </c>
      <c r="J111" t="s">
        <v>82</v>
      </c>
      <c r="K111" t="s">
        <v>86</v>
      </c>
      <c r="L111" s="5">
        <v>5.14</v>
      </c>
      <c r="N111" s="6"/>
      <c r="O111" s="5"/>
    </row>
    <row r="112" spans="1:15" x14ac:dyDescent="0.55000000000000004">
      <c r="A112" s="6" t="s">
        <v>34</v>
      </c>
      <c r="B112" s="6">
        <v>10.86</v>
      </c>
      <c r="C112" s="5">
        <f t="shared" si="7"/>
        <v>5.72</v>
      </c>
      <c r="D112" s="5">
        <f t="shared" si="8"/>
        <v>16</v>
      </c>
      <c r="E112" s="5">
        <v>5.72</v>
      </c>
      <c r="F112">
        <v>11</v>
      </c>
      <c r="G112" s="8">
        <v>6</v>
      </c>
      <c r="H112" s="8">
        <v>20</v>
      </c>
      <c r="I112" t="s">
        <v>88</v>
      </c>
      <c r="J112" t="s">
        <v>82</v>
      </c>
      <c r="K112" t="s">
        <v>86</v>
      </c>
      <c r="L112" s="5">
        <v>5.14</v>
      </c>
      <c r="N112" s="6"/>
      <c r="O112" s="5"/>
    </row>
    <row r="113" spans="1:15" x14ac:dyDescent="0.55000000000000004">
      <c r="A113" s="6" t="s">
        <v>25</v>
      </c>
      <c r="B113" s="6">
        <v>11.07</v>
      </c>
      <c r="C113" s="5">
        <f t="shared" si="7"/>
        <v>5.9300000000000006</v>
      </c>
      <c r="D113" s="5">
        <f t="shared" si="8"/>
        <v>16.21</v>
      </c>
      <c r="E113" s="5">
        <v>11.07</v>
      </c>
      <c r="F113">
        <v>12</v>
      </c>
      <c r="G113" s="8">
        <v>13</v>
      </c>
      <c r="H113" s="8">
        <v>24</v>
      </c>
      <c r="I113" t="s">
        <v>88</v>
      </c>
      <c r="J113" t="s">
        <v>82</v>
      </c>
      <c r="K113" t="s">
        <v>86</v>
      </c>
      <c r="L113" s="5">
        <v>5.14</v>
      </c>
      <c r="N113" s="6"/>
      <c r="O113" s="5"/>
    </row>
    <row r="114" spans="1:15" x14ac:dyDescent="0.55000000000000004">
      <c r="A114" s="6" t="s">
        <v>41</v>
      </c>
      <c r="B114" s="6">
        <v>11.64</v>
      </c>
      <c r="C114" s="5">
        <f t="shared" si="7"/>
        <v>6.5000000000000009</v>
      </c>
      <c r="D114" s="5">
        <f t="shared" si="8"/>
        <v>16.78</v>
      </c>
      <c r="E114" s="5">
        <v>11.64</v>
      </c>
      <c r="F114">
        <v>13</v>
      </c>
      <c r="G114" s="8">
        <v>14</v>
      </c>
      <c r="H114" s="8">
        <v>8</v>
      </c>
      <c r="I114" t="s">
        <v>88</v>
      </c>
      <c r="J114" t="s">
        <v>82</v>
      </c>
      <c r="K114" t="s">
        <v>86</v>
      </c>
      <c r="L114" s="5">
        <v>5.14</v>
      </c>
      <c r="N114" s="6"/>
      <c r="O114" s="5"/>
    </row>
    <row r="115" spans="1:15" x14ac:dyDescent="0.55000000000000004">
      <c r="A115" s="6" t="s">
        <v>28</v>
      </c>
      <c r="B115" s="6">
        <v>11.87</v>
      </c>
      <c r="C115" s="5">
        <f t="shared" si="7"/>
        <v>6.7299999999999995</v>
      </c>
      <c r="D115" s="5">
        <f t="shared" si="8"/>
        <v>17.009999999999998</v>
      </c>
      <c r="E115" s="5">
        <v>11.87</v>
      </c>
      <c r="F115">
        <v>14</v>
      </c>
      <c r="G115" s="8">
        <v>15</v>
      </c>
      <c r="H115" s="8">
        <v>25</v>
      </c>
      <c r="I115" t="s">
        <v>88</v>
      </c>
      <c r="J115" t="s">
        <v>82</v>
      </c>
      <c r="K115" t="s">
        <v>86</v>
      </c>
      <c r="L115" s="5">
        <v>5.14</v>
      </c>
      <c r="N115" s="6"/>
      <c r="O115" s="5"/>
    </row>
    <row r="116" spans="1:15" x14ac:dyDescent="0.55000000000000004">
      <c r="A116" s="6" t="s">
        <v>45</v>
      </c>
      <c r="B116" s="6">
        <v>13.32</v>
      </c>
      <c r="C116" s="5">
        <f t="shared" si="7"/>
        <v>8.18</v>
      </c>
      <c r="D116" s="5">
        <f t="shared" si="8"/>
        <v>18.46</v>
      </c>
      <c r="E116" s="5">
        <v>13.32</v>
      </c>
      <c r="F116">
        <v>15</v>
      </c>
      <c r="G116" s="8">
        <v>16</v>
      </c>
      <c r="H116" s="8">
        <v>9</v>
      </c>
      <c r="I116" t="s">
        <v>88</v>
      </c>
      <c r="J116" t="s">
        <v>82</v>
      </c>
      <c r="K116" t="s">
        <v>86</v>
      </c>
      <c r="L116" s="5">
        <v>5.14</v>
      </c>
      <c r="N116" s="6"/>
      <c r="O116" s="5"/>
    </row>
    <row r="117" spans="1:15" x14ac:dyDescent="0.55000000000000004">
      <c r="A117" s="6" t="s">
        <v>49</v>
      </c>
      <c r="B117" s="6">
        <v>13.63</v>
      </c>
      <c r="C117" s="5">
        <f t="shared" si="7"/>
        <v>8.490000000000002</v>
      </c>
      <c r="D117" s="5">
        <f t="shared" si="8"/>
        <v>18.77</v>
      </c>
      <c r="E117" s="5">
        <v>13.63</v>
      </c>
      <c r="F117">
        <v>16</v>
      </c>
      <c r="G117" s="8">
        <v>17</v>
      </c>
      <c r="H117" s="8">
        <v>13</v>
      </c>
      <c r="I117" t="s">
        <v>88</v>
      </c>
      <c r="J117" t="s">
        <v>82</v>
      </c>
      <c r="K117" t="s">
        <v>86</v>
      </c>
      <c r="L117" s="5">
        <v>5.14</v>
      </c>
      <c r="N117" s="6"/>
      <c r="O117" s="5"/>
    </row>
    <row r="118" spans="1:15" x14ac:dyDescent="0.55000000000000004">
      <c r="A118" s="6" t="s">
        <v>42</v>
      </c>
      <c r="B118" s="6">
        <v>14.58</v>
      </c>
      <c r="C118" s="5">
        <f t="shared" si="7"/>
        <v>9.4400000000000013</v>
      </c>
      <c r="D118" s="5">
        <f t="shared" si="8"/>
        <v>19.72</v>
      </c>
      <c r="E118" s="5">
        <v>19.72</v>
      </c>
      <c r="F118">
        <v>17</v>
      </c>
      <c r="G118" s="8">
        <v>23</v>
      </c>
      <c r="H118" s="8">
        <v>15</v>
      </c>
      <c r="I118" t="s">
        <v>88</v>
      </c>
      <c r="J118" t="s">
        <v>82</v>
      </c>
      <c r="K118" t="s">
        <v>86</v>
      </c>
      <c r="L118" s="5">
        <v>5.14</v>
      </c>
      <c r="N118" s="6"/>
      <c r="O118" s="5"/>
    </row>
    <row r="119" spans="1:15" x14ac:dyDescent="0.55000000000000004">
      <c r="A119" s="6" t="s">
        <v>30</v>
      </c>
      <c r="B119" s="6">
        <v>14.64</v>
      </c>
      <c r="C119" s="5">
        <f t="shared" si="7"/>
        <v>9.5</v>
      </c>
      <c r="D119" s="5">
        <f t="shared" si="8"/>
        <v>19.78</v>
      </c>
      <c r="E119" s="5">
        <v>14.64</v>
      </c>
      <c r="F119">
        <v>18</v>
      </c>
      <c r="G119" s="8">
        <v>18</v>
      </c>
      <c r="H119" s="8">
        <v>16</v>
      </c>
      <c r="I119" t="s">
        <v>88</v>
      </c>
      <c r="J119" t="s">
        <v>82</v>
      </c>
      <c r="K119" t="s">
        <v>86</v>
      </c>
      <c r="L119" s="5">
        <v>5.14</v>
      </c>
      <c r="N119" s="6"/>
      <c r="O119" s="5"/>
    </row>
    <row r="120" spans="1:15" x14ac:dyDescent="0.55000000000000004">
      <c r="A120" s="6" t="s">
        <v>32</v>
      </c>
      <c r="B120" s="6">
        <v>15.45</v>
      </c>
      <c r="C120" s="5">
        <f t="shared" si="7"/>
        <v>10.309999999999999</v>
      </c>
      <c r="D120" s="5">
        <f t="shared" si="8"/>
        <v>20.59</v>
      </c>
      <c r="E120" s="5">
        <v>15.45</v>
      </c>
      <c r="F120">
        <v>19</v>
      </c>
      <c r="G120" s="8">
        <v>19</v>
      </c>
      <c r="H120" s="8">
        <v>11</v>
      </c>
      <c r="I120" t="s">
        <v>88</v>
      </c>
      <c r="J120" t="s">
        <v>82</v>
      </c>
      <c r="K120" t="s">
        <v>86</v>
      </c>
      <c r="L120" s="5">
        <v>5.14</v>
      </c>
      <c r="N120" s="6"/>
      <c r="O120" s="5"/>
    </row>
    <row r="121" spans="1:15" x14ac:dyDescent="0.55000000000000004">
      <c r="A121" s="6" t="s">
        <v>29</v>
      </c>
      <c r="B121" s="6">
        <v>15.56</v>
      </c>
      <c r="C121" s="5">
        <f t="shared" si="7"/>
        <v>10.420000000000002</v>
      </c>
      <c r="D121" s="5">
        <f t="shared" si="8"/>
        <v>20.7</v>
      </c>
      <c r="E121" s="5">
        <v>15.56</v>
      </c>
      <c r="F121">
        <v>20</v>
      </c>
      <c r="G121" s="8">
        <v>20</v>
      </c>
      <c r="H121" s="8">
        <v>18</v>
      </c>
      <c r="I121" t="s">
        <v>88</v>
      </c>
      <c r="J121" t="s">
        <v>82</v>
      </c>
      <c r="K121" t="s">
        <v>86</v>
      </c>
      <c r="L121" s="5">
        <v>5.14</v>
      </c>
      <c r="N121" s="6"/>
      <c r="O121" s="5"/>
    </row>
    <row r="122" spans="1:15" x14ac:dyDescent="0.55000000000000004">
      <c r="A122" s="6" t="s">
        <v>26</v>
      </c>
      <c r="B122" s="6">
        <v>15.79</v>
      </c>
      <c r="C122" s="5">
        <f t="shared" si="7"/>
        <v>10.649999999999999</v>
      </c>
      <c r="D122" s="5">
        <f t="shared" si="8"/>
        <v>20.93</v>
      </c>
      <c r="E122" s="5">
        <v>15.79</v>
      </c>
      <c r="F122">
        <v>21</v>
      </c>
      <c r="G122" s="8">
        <v>21</v>
      </c>
      <c r="H122" s="8">
        <v>22</v>
      </c>
      <c r="I122" t="s">
        <v>88</v>
      </c>
      <c r="J122" t="s">
        <v>82</v>
      </c>
      <c r="K122" t="s">
        <v>86</v>
      </c>
      <c r="L122" s="5">
        <v>5.14</v>
      </c>
      <c r="N122" s="6"/>
      <c r="O122" s="5"/>
    </row>
    <row r="123" spans="1:15" x14ac:dyDescent="0.55000000000000004">
      <c r="A123" s="6" t="s">
        <v>31</v>
      </c>
      <c r="B123" s="6">
        <v>15.8</v>
      </c>
      <c r="C123" s="5">
        <f t="shared" si="7"/>
        <v>10.66</v>
      </c>
      <c r="D123" s="5">
        <f t="shared" si="8"/>
        <v>20.94</v>
      </c>
      <c r="E123" s="5">
        <v>10.66</v>
      </c>
      <c r="F123">
        <v>22</v>
      </c>
      <c r="G123" s="8">
        <v>12</v>
      </c>
      <c r="H123" s="8">
        <v>21</v>
      </c>
      <c r="I123" t="s">
        <v>88</v>
      </c>
      <c r="J123" t="s">
        <v>82</v>
      </c>
      <c r="K123" t="s">
        <v>86</v>
      </c>
      <c r="L123" s="5">
        <v>5.14</v>
      </c>
      <c r="N123" s="6"/>
      <c r="O123" s="5"/>
    </row>
    <row r="124" spans="1:15" x14ac:dyDescent="0.55000000000000004">
      <c r="A124" s="6" t="s">
        <v>46</v>
      </c>
      <c r="B124" s="6">
        <v>16.87</v>
      </c>
      <c r="C124" s="5">
        <f t="shared" si="7"/>
        <v>11.73</v>
      </c>
      <c r="D124" s="5">
        <f t="shared" si="8"/>
        <v>22.01</v>
      </c>
      <c r="E124" s="5">
        <v>16.87</v>
      </c>
      <c r="F124">
        <v>23</v>
      </c>
      <c r="G124" s="8">
        <v>22</v>
      </c>
      <c r="H124" s="8">
        <v>17</v>
      </c>
      <c r="I124" t="s">
        <v>88</v>
      </c>
      <c r="J124" t="s">
        <v>82</v>
      </c>
      <c r="K124" t="s">
        <v>86</v>
      </c>
      <c r="L124" s="5">
        <v>5.14</v>
      </c>
      <c r="N124" s="6"/>
      <c r="O124" s="5"/>
    </row>
    <row r="125" spans="1:15" x14ac:dyDescent="0.55000000000000004">
      <c r="A125" s="6" t="s">
        <v>47</v>
      </c>
      <c r="B125" s="6">
        <v>17.54</v>
      </c>
      <c r="C125" s="5">
        <f t="shared" si="7"/>
        <v>12.399999999999999</v>
      </c>
      <c r="D125" s="5">
        <f t="shared" si="8"/>
        <v>22.68</v>
      </c>
      <c r="E125" s="5">
        <v>22.68</v>
      </c>
      <c r="F125">
        <v>24</v>
      </c>
      <c r="G125" s="8">
        <v>24</v>
      </c>
      <c r="H125" s="8">
        <v>12</v>
      </c>
      <c r="I125" t="s">
        <v>88</v>
      </c>
      <c r="J125" t="s">
        <v>82</v>
      </c>
      <c r="K125" t="s">
        <v>86</v>
      </c>
      <c r="L125" s="5">
        <v>5.14</v>
      </c>
      <c r="N125" s="6"/>
      <c r="O125" s="5"/>
    </row>
    <row r="126" spans="1:15" x14ac:dyDescent="0.55000000000000004">
      <c r="A126" s="6" t="s">
        <v>43</v>
      </c>
      <c r="B126" s="6">
        <v>18.579999999999998</v>
      </c>
      <c r="C126" s="5">
        <f t="shared" si="7"/>
        <v>13.439999999999998</v>
      </c>
      <c r="D126" s="5">
        <f t="shared" si="8"/>
        <v>23.72</v>
      </c>
      <c r="E126" s="5">
        <v>23.72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86</v>
      </c>
      <c r="L126" s="5">
        <v>5.14</v>
      </c>
      <c r="N126" s="6"/>
      <c r="O126" s="5"/>
    </row>
    <row r="127" spans="1:15" x14ac:dyDescent="0.55000000000000004">
      <c r="F127">
        <v>1</v>
      </c>
      <c r="I127" t="s">
        <v>89</v>
      </c>
      <c r="J127" t="s">
        <v>76</v>
      </c>
      <c r="K127" t="s">
        <v>86</v>
      </c>
      <c r="L127" s="5">
        <v>5.13</v>
      </c>
    </row>
    <row r="128" spans="1:15" x14ac:dyDescent="0.55000000000000004">
      <c r="F128">
        <v>2</v>
      </c>
      <c r="I128" t="s">
        <v>89</v>
      </c>
      <c r="J128" t="s">
        <v>76</v>
      </c>
      <c r="K128" t="s">
        <v>86</v>
      </c>
      <c r="L128" s="5">
        <v>5.13</v>
      </c>
    </row>
    <row r="129" spans="6:12" x14ac:dyDescent="0.55000000000000004">
      <c r="F129">
        <v>3</v>
      </c>
      <c r="I129" t="s">
        <v>89</v>
      </c>
      <c r="J129" t="s">
        <v>76</v>
      </c>
      <c r="K129" t="s">
        <v>86</v>
      </c>
      <c r="L129" s="5">
        <v>5.13</v>
      </c>
    </row>
    <row r="130" spans="6:12" x14ac:dyDescent="0.55000000000000004">
      <c r="F130">
        <v>4</v>
      </c>
      <c r="I130" t="s">
        <v>89</v>
      </c>
      <c r="J130" t="s">
        <v>76</v>
      </c>
      <c r="K130" t="s">
        <v>86</v>
      </c>
      <c r="L130" s="5">
        <v>5.13</v>
      </c>
    </row>
    <row r="131" spans="6:12" x14ac:dyDescent="0.55000000000000004">
      <c r="F131">
        <v>5</v>
      </c>
      <c r="I131" t="s">
        <v>89</v>
      </c>
      <c r="J131" t="s">
        <v>76</v>
      </c>
      <c r="K131" t="s">
        <v>86</v>
      </c>
      <c r="L131" s="5">
        <v>5.13</v>
      </c>
    </row>
    <row r="132" spans="6:12" x14ac:dyDescent="0.55000000000000004">
      <c r="F132">
        <v>6</v>
      </c>
      <c r="I132" t="s">
        <v>89</v>
      </c>
      <c r="J132" t="s">
        <v>76</v>
      </c>
      <c r="K132" t="s">
        <v>86</v>
      </c>
      <c r="L132" s="5">
        <v>5.13</v>
      </c>
    </row>
    <row r="133" spans="6:12" x14ac:dyDescent="0.55000000000000004">
      <c r="F133">
        <v>7</v>
      </c>
      <c r="I133" t="s">
        <v>89</v>
      </c>
      <c r="J133" t="s">
        <v>76</v>
      </c>
      <c r="K133" t="s">
        <v>86</v>
      </c>
      <c r="L133" s="5">
        <v>5.13</v>
      </c>
    </row>
    <row r="134" spans="6:12" x14ac:dyDescent="0.55000000000000004">
      <c r="F134">
        <v>8</v>
      </c>
      <c r="I134" t="s">
        <v>89</v>
      </c>
      <c r="J134" t="s">
        <v>76</v>
      </c>
      <c r="K134" t="s">
        <v>86</v>
      </c>
      <c r="L134" s="5">
        <v>5.13</v>
      </c>
    </row>
    <row r="135" spans="6:12" x14ac:dyDescent="0.55000000000000004">
      <c r="F135">
        <v>9</v>
      </c>
      <c r="I135" t="s">
        <v>89</v>
      </c>
      <c r="J135" t="s">
        <v>76</v>
      </c>
      <c r="K135" t="s">
        <v>86</v>
      </c>
      <c r="L135" s="5">
        <v>5.13</v>
      </c>
    </row>
    <row r="136" spans="6:12" x14ac:dyDescent="0.55000000000000004">
      <c r="F136">
        <v>10</v>
      </c>
      <c r="I136" t="s">
        <v>89</v>
      </c>
      <c r="J136" t="s">
        <v>76</v>
      </c>
      <c r="K136" t="s">
        <v>86</v>
      </c>
      <c r="L136" s="5">
        <v>5.13</v>
      </c>
    </row>
    <row r="137" spans="6:12" x14ac:dyDescent="0.55000000000000004">
      <c r="F137">
        <v>11</v>
      </c>
      <c r="I137" t="s">
        <v>89</v>
      </c>
      <c r="J137" t="s">
        <v>76</v>
      </c>
      <c r="K137" t="s">
        <v>86</v>
      </c>
      <c r="L137" s="5">
        <v>5.13</v>
      </c>
    </row>
    <row r="138" spans="6:12" x14ac:dyDescent="0.55000000000000004">
      <c r="F138">
        <v>12</v>
      </c>
      <c r="I138" t="s">
        <v>89</v>
      </c>
      <c r="J138" t="s">
        <v>76</v>
      </c>
      <c r="K138" t="s">
        <v>86</v>
      </c>
      <c r="L138" s="5">
        <v>5.13</v>
      </c>
    </row>
    <row r="139" spans="6:12" x14ac:dyDescent="0.55000000000000004">
      <c r="F139">
        <v>13</v>
      </c>
      <c r="I139" t="s">
        <v>89</v>
      </c>
      <c r="J139" t="s">
        <v>76</v>
      </c>
      <c r="K139" t="s">
        <v>86</v>
      </c>
      <c r="L139" s="5">
        <v>5.13</v>
      </c>
    </row>
    <row r="140" spans="6:12" x14ac:dyDescent="0.55000000000000004">
      <c r="F140">
        <v>14</v>
      </c>
      <c r="I140" t="s">
        <v>89</v>
      </c>
      <c r="J140" t="s">
        <v>76</v>
      </c>
      <c r="K140" t="s">
        <v>86</v>
      </c>
      <c r="L140" s="5">
        <v>5.13</v>
      </c>
    </row>
    <row r="141" spans="6:12" x14ac:dyDescent="0.55000000000000004">
      <c r="F141">
        <v>15</v>
      </c>
      <c r="I141" t="s">
        <v>89</v>
      </c>
      <c r="J141" t="s">
        <v>76</v>
      </c>
      <c r="K141" t="s">
        <v>86</v>
      </c>
      <c r="L141" s="5">
        <v>5.13</v>
      </c>
    </row>
    <row r="142" spans="6:12" x14ac:dyDescent="0.55000000000000004">
      <c r="F142">
        <v>16</v>
      </c>
      <c r="I142" t="s">
        <v>89</v>
      </c>
      <c r="J142" t="s">
        <v>76</v>
      </c>
      <c r="K142" t="s">
        <v>86</v>
      </c>
      <c r="L142" s="5">
        <v>5.13</v>
      </c>
    </row>
    <row r="143" spans="6:12" x14ac:dyDescent="0.55000000000000004">
      <c r="F143">
        <v>17</v>
      </c>
      <c r="I143" t="s">
        <v>89</v>
      </c>
      <c r="J143" t="s">
        <v>76</v>
      </c>
      <c r="K143" t="s">
        <v>86</v>
      </c>
      <c r="L143" s="5">
        <v>5.13</v>
      </c>
    </row>
    <row r="144" spans="6:12" x14ac:dyDescent="0.55000000000000004">
      <c r="F144">
        <v>18</v>
      </c>
      <c r="I144" t="s">
        <v>89</v>
      </c>
      <c r="J144" t="s">
        <v>76</v>
      </c>
      <c r="K144" t="s">
        <v>86</v>
      </c>
      <c r="L144" s="5">
        <v>5.13</v>
      </c>
    </row>
    <row r="145" spans="6:12" x14ac:dyDescent="0.55000000000000004">
      <c r="F145">
        <v>19</v>
      </c>
      <c r="I145" t="s">
        <v>89</v>
      </c>
      <c r="J145" t="s">
        <v>76</v>
      </c>
      <c r="K145" t="s">
        <v>86</v>
      </c>
      <c r="L145" s="5">
        <v>5.13</v>
      </c>
    </row>
    <row r="146" spans="6:12" x14ac:dyDescent="0.55000000000000004">
      <c r="F146">
        <v>20</v>
      </c>
      <c r="I146" t="s">
        <v>89</v>
      </c>
      <c r="J146" t="s">
        <v>76</v>
      </c>
      <c r="K146" t="s">
        <v>86</v>
      </c>
      <c r="L146" s="5">
        <v>5.13</v>
      </c>
    </row>
    <row r="147" spans="6:12" x14ac:dyDescent="0.55000000000000004">
      <c r="F147">
        <v>21</v>
      </c>
      <c r="I147" t="s">
        <v>89</v>
      </c>
      <c r="J147" t="s">
        <v>76</v>
      </c>
      <c r="K147" t="s">
        <v>86</v>
      </c>
      <c r="L147" s="5">
        <v>5.13</v>
      </c>
    </row>
    <row r="148" spans="6:12" x14ac:dyDescent="0.55000000000000004">
      <c r="F148">
        <v>22</v>
      </c>
      <c r="I148" t="s">
        <v>89</v>
      </c>
      <c r="J148" t="s">
        <v>76</v>
      </c>
      <c r="K148" t="s">
        <v>86</v>
      </c>
      <c r="L148" s="5">
        <v>5.13</v>
      </c>
    </row>
    <row r="149" spans="6:12" x14ac:dyDescent="0.55000000000000004">
      <c r="F149">
        <v>23</v>
      </c>
      <c r="I149" t="s">
        <v>89</v>
      </c>
      <c r="J149" t="s">
        <v>76</v>
      </c>
      <c r="K149" t="s">
        <v>86</v>
      </c>
      <c r="L149" s="5">
        <v>5.13</v>
      </c>
    </row>
    <row r="150" spans="6:12" x14ac:dyDescent="0.55000000000000004">
      <c r="F150">
        <v>24</v>
      </c>
      <c r="I150" t="s">
        <v>89</v>
      </c>
      <c r="J150" t="s">
        <v>76</v>
      </c>
      <c r="K150" t="s">
        <v>86</v>
      </c>
      <c r="L150" s="5">
        <v>5.13</v>
      </c>
    </row>
    <row r="151" spans="6:12" x14ac:dyDescent="0.55000000000000004">
      <c r="F151">
        <v>25</v>
      </c>
      <c r="I151" t="s">
        <v>89</v>
      </c>
      <c r="J151" t="s">
        <v>76</v>
      </c>
      <c r="K151" t="s">
        <v>86</v>
      </c>
      <c r="L151" s="5">
        <v>5.13</v>
      </c>
    </row>
  </sheetData>
  <sortState xmlns:xlrd2="http://schemas.microsoft.com/office/spreadsheetml/2017/richdata2" ref="N102:O126">
    <sortCondition ref="O102:O126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2026-05-09T18:45:15Z</dcterms:modified>
</cp:coreProperties>
</file>