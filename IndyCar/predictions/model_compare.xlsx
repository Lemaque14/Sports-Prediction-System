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0318EF4D-6065-44FF-9195-AC7A6C5D3CAE}" xr6:coauthVersionLast="47" xr6:coauthVersionMax="47" xr10:uidLastSave="{00000000-0000-0000-0000-000000000000}"/>
  <bookViews>
    <workbookView xWindow="-96" yWindow="-96" windowWidth="23232" windowHeight="12432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1" i="4" l="1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10" i="4"/>
  <c r="C233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4" i="4"/>
  <c r="C210" i="4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10" i="3"/>
  <c r="C234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10" i="3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185" i="4"/>
  <c r="C207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8" i="4"/>
  <c r="C209" i="4"/>
  <c r="C185" i="4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185" i="3"/>
  <c r="H31" i="1"/>
  <c r="D153" i="4" l="1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D152" i="4"/>
  <c r="C152" i="4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D152" i="3"/>
  <c r="C152" i="3"/>
  <c r="C2" i="3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27" i="4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27" i="3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<sst xmlns="http://schemas.openxmlformats.org/spreadsheetml/2006/main" count="2029" uniqueCount="109">
  <si>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</si>
  <si>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</si>
  <si>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</si>
  <si>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</si>
  <si>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</si>
  <si>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</si>
  <si>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</si>
  <si>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</si>
  <si>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</si>
  <si>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</si>
  <si>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</si>
  <si>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</si>
  <si>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</si>
  <si>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</si>
  <si>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</si>
  <si>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</si>
  <si>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</si>
  <si>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</si>
  <si>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</si>
  <si>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</si>
  <si>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</si>
  <si>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</si>
  <si>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</si>
  <si>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</si>
  <si>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</si>
  <si>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</si>
  <si>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</si>
  <si>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</si>
  <si>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</si>
  <si>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</si>
  <si>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</si>
  <si>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</si>
  <si>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</si>
  <si>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</si>
  <si>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</si>
  <si>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</si>
  <si>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</si>
  <si>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</si>
  <si>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</si>
  <si>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</si>
  <si>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</si>
  <si>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</si>
  <si>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</si>
  <si>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</si>
  <si>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</si>
  <si>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</si>
  <si>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</si>
  <si>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</si>
  <si>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</si>
  <si>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</si>
  <si>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</si>
  <si>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</si>
  <si>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</si>
  <si>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</si>
  <si>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</si>
  <si>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</si>
  <si>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</si>
  <si>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</si>
  <si>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</si>
  <si>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</si>
  <si>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</si>
  <si>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</si>
  <si>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</si>
  <si>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</si>
  <si>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</si>
  <si>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</si>
  <si>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</si>
  <si>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</si>
  <si>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</si>
  <si>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</si>
  <si>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</si>
  <si>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</si>
  <si>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</si>
  <si>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</si>
  <si>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</si>
  <si>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</si>
  <si>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</si>
  <si>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</si>
  <si>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</si>
  <si>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</si>
  <si>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</si>
  <si>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</si>
  <si>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</si>
  <si>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</si>
  <si>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</si>
  <si>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</si>
  <si>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</si>
  <si>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</si>
  <si>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</si>
  <si>
    <t>Indianapolis Motor Speedway (Road)</t>
  </si>
  <si>
    <t>Indianapolis Motor Speedway (Oval)</t>
  </si>
  <si>
    <t>Conor Daly</t>
  </si>
  <si>
    <t>Helio Castroneves</t>
  </si>
  <si>
    <t>Ryan Hunter-Reay</t>
  </si>
  <si>
    <t>Takuma Sato</t>
  </si>
  <si>
    <t>Jacob Abel</t>
  </si>
  <si>
    <t>Ed Carpenter</t>
  </si>
  <si>
    <t>Jack Harvey</t>
  </si>
  <si>
    <t>Katherine Legge</t>
  </si>
  <si>
    <t>ridge</t>
  </si>
  <si>
    <t>xgb</t>
  </si>
  <si>
    <t>ridge_tune</t>
  </si>
  <si>
    <t>br_tune</t>
  </si>
  <si>
    <t>cat_lgbm</t>
  </si>
  <si>
    <t>gbr_lgbm</t>
  </si>
  <si>
    <t>all3</t>
  </si>
  <si>
    <t>DISCARD</t>
  </si>
  <si>
    <t>Streets of Detroit</t>
  </si>
  <si>
    <t>World Wide Technology Raceway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</si>
</sst>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164" fontId="0" fillId="0" borderId="0" xfId="0" applyNumberFormat="1"/>
    <xf numFmtId="0" fontId="0" fillId="0" borderId="4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3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3"/>
  <sheetViews>
    <sheetView topLeftCell="A12" workbookViewId="0">
      <selection activeCell="H31" sqref="H31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4" t="s">
        <v>2</v>
      </c>
      <c r="C1" s="15"/>
      <c r="D1" s="12" t="s">
        <v>7</v>
      </c>
      <c r="E1" s="12"/>
      <c r="F1" s="13" t="s">
        <v>5</v>
      </c>
      <c r="G1" s="13"/>
      <c r="H1" s="13" t="s">
        <v>6</v>
      </c>
      <c r="I1" s="13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4" t="s">
        <v>2</v>
      </c>
      <c r="C12" s="15"/>
      <c r="D12" s="12" t="s">
        <v>7</v>
      </c>
      <c r="E12" s="12"/>
      <c r="F12" s="13" t="s">
        <v>5</v>
      </c>
      <c r="G12" s="13"/>
      <c r="H12" s="13" t="s">
        <v>6</v>
      </c>
      <c r="I12" s="13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0.26190000000000002</v>
      </c>
      <c r="C14" s="1">
        <v>-0.11269999999999999</v>
      </c>
      <c r="D14" s="1">
        <v>0.25779999999999997</v>
      </c>
      <c r="E14" s="1">
        <v>2.24E-2</v>
      </c>
      <c r="F14" s="1">
        <v>0.25309999999999999</v>
      </c>
      <c r="G14" s="1">
        <v>4.5400000000000003E-2</v>
      </c>
      <c r="H14" s="1">
        <v>0.2545</v>
      </c>
      <c r="I14" s="1">
        <v>3.6600000000000001E-2</v>
      </c>
      <c r="J14" t="s">
        <v>106</v>
      </c>
    </row>
    <row r="15" spans="1:10" x14ac:dyDescent="0.55000000000000004">
      <c r="A15" s="1" t="s">
        <v>10</v>
      </c>
      <c r="B15" s="1">
        <v>0.24179999999999999</v>
      </c>
      <c r="C15" s="1">
        <v>9.5000000000000001E-2</v>
      </c>
      <c r="D15" s="1">
        <v>0.23480000000000001</v>
      </c>
      <c r="E15" s="1">
        <v>0.14699999999999999</v>
      </c>
      <c r="F15" s="1">
        <v>0.2162</v>
      </c>
      <c r="G15" s="1">
        <v>0.24709999999999999</v>
      </c>
      <c r="H15" s="1">
        <v>0.21990000000000001</v>
      </c>
      <c r="I15" s="1">
        <v>0.20669999999999999</v>
      </c>
    </row>
    <row r="16" spans="1:10" x14ac:dyDescent="0.55000000000000004">
      <c r="A16" s="1" t="s">
        <v>4</v>
      </c>
      <c r="B16" s="1">
        <v>0.24610000000000001</v>
      </c>
      <c r="C16" s="1">
        <v>4.58E-2</v>
      </c>
      <c r="D16" s="1">
        <v>0.2399</v>
      </c>
      <c r="E16" s="1">
        <v>0.1246</v>
      </c>
      <c r="F16" s="1">
        <v>0.2233</v>
      </c>
      <c r="G16" s="1">
        <v>0.21840000000000001</v>
      </c>
      <c r="H16" s="1">
        <v>0.22639999999999999</v>
      </c>
      <c r="I16" s="1">
        <v>0.185</v>
      </c>
    </row>
    <row r="17" spans="1:9" x14ac:dyDescent="0.55000000000000004">
      <c r="A17" s="1" t="s">
        <v>8</v>
      </c>
      <c r="B17" s="1">
        <v>0.24210000000000001</v>
      </c>
      <c r="C17" s="1">
        <v>6.6100000000000006E-2</v>
      </c>
      <c r="D17" s="1">
        <v>0.23710000000000001</v>
      </c>
      <c r="E17" s="1">
        <v>0.1231</v>
      </c>
      <c r="F17" s="1">
        <v>0.21560000000000001</v>
      </c>
      <c r="G17" s="1">
        <v>0.24540000000000001</v>
      </c>
      <c r="H17" s="1">
        <v>0.21820000000000001</v>
      </c>
      <c r="I17" s="1">
        <v>0.21870000000000001</v>
      </c>
    </row>
    <row r="18" spans="1:9" x14ac:dyDescent="0.55000000000000004">
      <c r="A18" s="1" t="s">
        <v>9</v>
      </c>
      <c r="B18" s="1">
        <v>0.24610000000000001</v>
      </c>
      <c r="C18" s="1">
        <v>2.07E-2</v>
      </c>
      <c r="D18" s="1">
        <v>0.2354</v>
      </c>
      <c r="E18" s="1">
        <v>0.14360000000000001</v>
      </c>
      <c r="F18" s="1">
        <v>0.21540000000000001</v>
      </c>
      <c r="G18" s="1">
        <v>0.2407</v>
      </c>
      <c r="H18" s="1">
        <v>0.21709999999999999</v>
      </c>
      <c r="I18" s="1">
        <v>0.2165</v>
      </c>
    </row>
    <row r="19" spans="1:9" x14ac:dyDescent="0.55000000000000004">
      <c r="A19" s="1" t="s">
        <v>21</v>
      </c>
      <c r="B19" s="1">
        <v>0.23480000000000001</v>
      </c>
      <c r="C19" s="1">
        <v>0.1482</v>
      </c>
      <c r="D19" s="1">
        <v>0.23469999999999999</v>
      </c>
      <c r="E19" s="1">
        <v>0.1484</v>
      </c>
      <c r="F19" s="1">
        <v>0.21560000000000001</v>
      </c>
      <c r="G19" s="1">
        <v>0.24579999999999999</v>
      </c>
      <c r="H19" s="1">
        <v>0.21809999999999999</v>
      </c>
      <c r="I19" s="1">
        <v>0.21360000000000001</v>
      </c>
    </row>
    <row r="20" spans="1:9" x14ac:dyDescent="0.55000000000000004">
      <c r="A20" s="1" t="s">
        <v>15</v>
      </c>
      <c r="B20" s="1">
        <v>0.2351</v>
      </c>
      <c r="C20" s="1">
        <v>0.14360000000000001</v>
      </c>
      <c r="D20" s="1">
        <v>0.23480000000000001</v>
      </c>
      <c r="E20" s="1">
        <v>0.14729999999999999</v>
      </c>
      <c r="F20" s="1">
        <v>0.21540000000000001</v>
      </c>
      <c r="G20" s="1">
        <v>0.2477</v>
      </c>
      <c r="H20" s="1">
        <v>0.21779999999999999</v>
      </c>
      <c r="I20" s="1">
        <v>0.21729999999999999</v>
      </c>
    </row>
    <row r="21" spans="1:9" x14ac:dyDescent="0.55000000000000004">
      <c r="A21" s="1" t="s">
        <v>12</v>
      </c>
      <c r="B21" s="1">
        <v>0.23619999999999999</v>
      </c>
      <c r="C21" s="1">
        <v>0.14349999999999999</v>
      </c>
      <c r="D21" s="1">
        <v>0.2356</v>
      </c>
      <c r="E21" s="1">
        <v>0.1457</v>
      </c>
      <c r="F21" s="1">
        <v>0.21690000000000001</v>
      </c>
      <c r="G21" s="1">
        <v>0.24390000000000001</v>
      </c>
      <c r="H21" s="1">
        <v>0.2195</v>
      </c>
      <c r="I21" s="1">
        <v>0.2099</v>
      </c>
    </row>
    <row r="22" spans="1:9" x14ac:dyDescent="0.55000000000000004">
      <c r="A22" s="1" t="s">
        <v>13</v>
      </c>
      <c r="B22" s="1">
        <v>0.2361</v>
      </c>
      <c r="C22" s="1">
        <v>0.14169999999999999</v>
      </c>
      <c r="D22" s="1">
        <v>0.23549999999999999</v>
      </c>
      <c r="E22" s="1">
        <v>0.1431</v>
      </c>
      <c r="F22" s="1">
        <v>0.216</v>
      </c>
      <c r="G22" s="1">
        <v>0.24590000000000001</v>
      </c>
      <c r="H22" s="1">
        <v>0.21809999999999999</v>
      </c>
      <c r="I22" s="1">
        <v>0.2165</v>
      </c>
    </row>
    <row r="23" spans="1:9" x14ac:dyDescent="0.55000000000000004">
      <c r="A23" s="1" t="s">
        <v>14</v>
      </c>
      <c r="B23" s="1">
        <v>0.23549999999999999</v>
      </c>
      <c r="C23" s="1">
        <v>0.13950000000000001</v>
      </c>
      <c r="D23" s="1">
        <v>0.23499999999999999</v>
      </c>
      <c r="E23" s="1">
        <v>0.14480000000000001</v>
      </c>
      <c r="F23" s="1">
        <v>0.21560000000000001</v>
      </c>
      <c r="G23" s="1">
        <v>0.249</v>
      </c>
      <c r="H23" s="1">
        <v>0.21840000000000001</v>
      </c>
      <c r="I23" s="1">
        <v>0.21540000000000001</v>
      </c>
    </row>
    <row r="24" spans="1:9" x14ac:dyDescent="0.55000000000000004">
      <c r="A24" s="3" t="s">
        <v>58</v>
      </c>
      <c r="B24" s="1">
        <v>0.23569999999999999</v>
      </c>
      <c r="C24" s="1">
        <v>0.13880000000000001</v>
      </c>
      <c r="D24" s="1">
        <v>0.2354</v>
      </c>
      <c r="E24" s="1">
        <v>0.14280000000000001</v>
      </c>
      <c r="F24" s="1">
        <v>0.2152</v>
      </c>
      <c r="G24" s="1">
        <v>0.24579999999999999</v>
      </c>
      <c r="H24" s="1">
        <v>0.21740000000000001</v>
      </c>
      <c r="I24" s="1">
        <v>0.2205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/>
    </row>
    <row r="31" spans="1:9" x14ac:dyDescent="0.55000000000000004">
      <c r="A31" s="4">
        <v>46151</v>
      </c>
      <c r="B31" t="s">
        <v>58</v>
      </c>
      <c r="D31">
        <v>0.21909999999999999</v>
      </c>
      <c r="E31" s="10">
        <v>0.2026</v>
      </c>
      <c r="H31">
        <f>D33*25</f>
        <v>5.4350000000000005</v>
      </c>
    </row>
    <row r="32" spans="1:9" x14ac:dyDescent="0.55000000000000004">
      <c r="A32" s="4">
        <v>46154</v>
      </c>
      <c r="B32" t="s">
        <v>58</v>
      </c>
      <c r="D32">
        <v>0.21790000000000001</v>
      </c>
      <c r="E32">
        <v>0.21060000000000001</v>
      </c>
    </row>
    <row r="33" spans="1:5" x14ac:dyDescent="0.55000000000000004">
      <c r="A33" s="4">
        <v>46169</v>
      </c>
      <c r="B33" t="s">
        <v>58</v>
      </c>
      <c r="D33">
        <v>0.21740000000000001</v>
      </c>
      <c r="E33">
        <v>0.2205</v>
      </c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32" priority="57" bottom="1" rank="1"/>
  </conditionalFormatting>
  <conditionalFormatting sqref="B14:B24">
    <cfRule type="top10" dxfId="31" priority="99" bottom="1" rank="1"/>
  </conditionalFormatting>
  <conditionalFormatting sqref="C3:C10">
    <cfRule type="top10" dxfId="30" priority="56" rank="1"/>
  </conditionalFormatting>
  <conditionalFormatting sqref="C14:C24">
    <cfRule type="top10" dxfId="29" priority="101" rank="1"/>
  </conditionalFormatting>
  <conditionalFormatting sqref="D3:D10">
    <cfRule type="top10" dxfId="28" priority="12" bottom="1" rank="1"/>
  </conditionalFormatting>
  <conditionalFormatting sqref="D14:D24">
    <cfRule type="top10" dxfId="27" priority="6" bottom="1" rank="1"/>
  </conditionalFormatting>
  <conditionalFormatting sqref="E3:E10">
    <cfRule type="top10" dxfId="26" priority="9" rank="1"/>
  </conditionalFormatting>
  <conditionalFormatting sqref="E14:E24">
    <cfRule type="top10" dxfId="25" priority="3" rank="1"/>
  </conditionalFormatting>
  <conditionalFormatting sqref="F3:F10">
    <cfRule type="top10" dxfId="24" priority="11" bottom="1" rank="1"/>
  </conditionalFormatting>
  <conditionalFormatting sqref="F14:F24">
    <cfRule type="top10" dxfId="23" priority="5" bottom="1" rank="1"/>
  </conditionalFormatting>
  <conditionalFormatting sqref="G3:G10">
    <cfRule type="top10" dxfId="22" priority="8" rank="1"/>
  </conditionalFormatting>
  <conditionalFormatting sqref="G14:G24">
    <cfRule type="top10" dxfId="21" priority="2" rank="1"/>
  </conditionalFormatting>
  <conditionalFormatting sqref="H3:H10">
    <cfRule type="top10" dxfId="20" priority="10" bottom="1" rank="1"/>
  </conditionalFormatting>
  <conditionalFormatting sqref="H14:H24">
    <cfRule type="top10" dxfId="19" priority="4" bottom="1" rank="1"/>
  </conditionalFormatting>
  <conditionalFormatting sqref="I3:I10">
    <cfRule type="top10" dxfId="18" priority="7" rank="1"/>
  </conditionalFormatting>
  <conditionalFormatting sqref="I14:I24">
    <cfRule type="top10" dxfId="17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T29"/>
  <sheetViews>
    <sheetView topLeftCell="A4" workbookViewId="0">
      <selection activeCell="G29" sqref="G29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20" ht="34.200000000000003" customHeight="1" x14ac:dyDescent="0.55000000000000004">
      <c r="A1" s="2" t="s">
        <v>0</v>
      </c>
      <c r="B1" s="14" t="s">
        <v>2</v>
      </c>
      <c r="C1" s="15"/>
      <c r="D1" s="12" t="s">
        <v>7</v>
      </c>
      <c r="E1" s="12"/>
      <c r="F1" s="13" t="s">
        <v>5</v>
      </c>
      <c r="G1" s="13"/>
      <c r="H1" s="13" t="s">
        <v>6</v>
      </c>
      <c r="I1" s="13"/>
      <c r="L1" s="2" t="s">
        <v>0</v>
      </c>
      <c r="M1" s="14" t="s">
        <v>2</v>
      </c>
      <c r="N1" s="15"/>
      <c r="O1" s="12" t="s">
        <v>7</v>
      </c>
      <c r="P1" s="12"/>
      <c r="Q1" s="13" t="s">
        <v>5</v>
      </c>
      <c r="R1" s="13"/>
      <c r="S1" s="13" t="s">
        <v>6</v>
      </c>
      <c r="T1" s="13"/>
    </row>
    <row r="2" spans="1:2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  <c r="L2" s="1"/>
      <c r="M2" s="1" t="s">
        <v>1</v>
      </c>
      <c r="N2" s="1" t="s">
        <v>3</v>
      </c>
      <c r="O2" s="1" t="s">
        <v>1</v>
      </c>
      <c r="P2" s="1" t="s">
        <v>3</v>
      </c>
      <c r="Q2" s="1" t="s">
        <v>1</v>
      </c>
      <c r="R2" s="1" t="s">
        <v>3</v>
      </c>
      <c r="S2" s="1" t="s">
        <v>1</v>
      </c>
      <c r="T2" s="1" t="s">
        <v>3</v>
      </c>
    </row>
    <row r="3" spans="1:20" x14ac:dyDescent="0.55000000000000004">
      <c r="A3" s="1" t="s">
        <v>16</v>
      </c>
      <c r="B3" s="1"/>
      <c r="C3" s="1"/>
      <c r="D3" s="1"/>
      <c r="E3" s="1"/>
      <c r="F3" s="1"/>
      <c r="G3" s="1"/>
      <c r="H3" s="1"/>
      <c r="I3" s="1"/>
      <c r="J3" t="s">
        <v>106</v>
      </c>
      <c r="L3" s="1" t="s">
        <v>19</v>
      </c>
      <c r="M3" s="1">
        <v>0.22220000000000001</v>
      </c>
      <c r="N3" s="1">
        <v>0.1988</v>
      </c>
      <c r="O3" s="1">
        <v>0.22209999999999999</v>
      </c>
      <c r="P3" s="1">
        <v>0.21129999999999999</v>
      </c>
      <c r="Q3" s="1">
        <v>0.1973</v>
      </c>
      <c r="R3" s="1">
        <v>0.34389999999999998</v>
      </c>
      <c r="S3" s="1">
        <v>0.1888</v>
      </c>
      <c r="T3" s="1">
        <v>0.38550000000000001</v>
      </c>
    </row>
    <row r="4" spans="1:20" x14ac:dyDescent="0.55000000000000004">
      <c r="A4" s="1" t="s">
        <v>17</v>
      </c>
      <c r="B4" s="1">
        <v>0.23419999999999999</v>
      </c>
      <c r="C4" s="1">
        <v>0.14219999999999999</v>
      </c>
      <c r="D4" s="1">
        <v>0.2296</v>
      </c>
      <c r="E4" s="1">
        <v>0.1772</v>
      </c>
      <c r="F4" s="1">
        <v>0.2114</v>
      </c>
      <c r="G4" s="1">
        <v>0.27800000000000002</v>
      </c>
      <c r="H4" s="1">
        <v>0.2084</v>
      </c>
      <c r="I4" s="1">
        <v>0.2732</v>
      </c>
      <c r="L4" s="1" t="s">
        <v>18</v>
      </c>
      <c r="M4" s="1">
        <v>0.22239999999999999</v>
      </c>
      <c r="N4" s="1">
        <v>0.19869999999999999</v>
      </c>
      <c r="O4" s="1">
        <v>0.23130000000000001</v>
      </c>
      <c r="P4" s="1">
        <v>0.1802</v>
      </c>
      <c r="Q4" s="1">
        <v>0.20019999999999999</v>
      </c>
      <c r="R4" s="1">
        <v>0.33200000000000002</v>
      </c>
      <c r="S4" s="1">
        <v>0.1968</v>
      </c>
      <c r="T4" s="1">
        <v>0.34820000000000001</v>
      </c>
    </row>
    <row r="5" spans="1:20" x14ac:dyDescent="0.55000000000000004">
      <c r="A5" s="1" t="s">
        <v>18</v>
      </c>
      <c r="B5" s="1">
        <v>0.23430000000000001</v>
      </c>
      <c r="C5" s="1">
        <v>0.1153</v>
      </c>
      <c r="D5" s="1">
        <v>0.2336</v>
      </c>
      <c r="E5" s="1">
        <v>0.16339999999999999</v>
      </c>
      <c r="F5" s="1">
        <v>0.21759999999999999</v>
      </c>
      <c r="G5" s="1">
        <v>0.25619999999999998</v>
      </c>
      <c r="H5" s="1">
        <v>0.21510000000000001</v>
      </c>
      <c r="I5" s="1">
        <v>0.24970000000000001</v>
      </c>
      <c r="L5" s="1" t="s">
        <v>20</v>
      </c>
      <c r="M5" s="1">
        <v>0.22500000000000001</v>
      </c>
      <c r="N5" s="1">
        <v>0.19089999999999999</v>
      </c>
      <c r="O5" s="1">
        <v>0.22850000000000001</v>
      </c>
      <c r="P5" s="1">
        <v>0.18329999999999999</v>
      </c>
      <c r="Q5" s="1">
        <v>0.1986</v>
      </c>
      <c r="R5" s="1">
        <v>0.32479999999999998</v>
      </c>
      <c r="S5" s="1">
        <v>0.1898</v>
      </c>
      <c r="T5" s="1">
        <v>0.37669999999999998</v>
      </c>
    </row>
    <row r="6" spans="1:20" x14ac:dyDescent="0.55000000000000004">
      <c r="A6" s="1" t="s">
        <v>19</v>
      </c>
      <c r="B6" s="1">
        <v>0.23400000000000001</v>
      </c>
      <c r="C6" s="1">
        <v>0.1096</v>
      </c>
      <c r="D6" s="1">
        <v>0.22850000000000001</v>
      </c>
      <c r="E6" s="1">
        <v>0.1668</v>
      </c>
      <c r="F6" s="1">
        <v>0.2059</v>
      </c>
      <c r="G6" s="1">
        <v>0.2863</v>
      </c>
      <c r="H6" s="1">
        <v>0.20300000000000001</v>
      </c>
      <c r="I6" s="1">
        <v>0.2863</v>
      </c>
      <c r="L6" s="1" t="s">
        <v>17</v>
      </c>
      <c r="M6" s="1">
        <v>0.2301</v>
      </c>
      <c r="N6" s="1">
        <v>0.1618</v>
      </c>
      <c r="O6" s="1">
        <v>0.2283</v>
      </c>
      <c r="P6" s="1">
        <v>0.186</v>
      </c>
      <c r="Q6" s="1">
        <v>0.2107</v>
      </c>
      <c r="R6" s="1">
        <v>0.28199999999999997</v>
      </c>
      <c r="S6" s="1">
        <v>0.20830000000000001</v>
      </c>
      <c r="T6" s="1">
        <v>0.27650000000000002</v>
      </c>
    </row>
    <row r="7" spans="1:20" x14ac:dyDescent="0.55000000000000004">
      <c r="A7" s="3" t="s">
        <v>20</v>
      </c>
      <c r="B7" s="1">
        <v>0.23780000000000001</v>
      </c>
      <c r="C7" s="1">
        <v>7.7399999999999997E-2</v>
      </c>
      <c r="D7" s="1">
        <v>0.22869999999999999</v>
      </c>
      <c r="E7" s="1">
        <v>0.17749999999999999</v>
      </c>
      <c r="F7" s="1">
        <v>0.2074</v>
      </c>
      <c r="G7" s="1">
        <v>0.28320000000000001</v>
      </c>
      <c r="H7" s="1">
        <v>0.2039</v>
      </c>
      <c r="I7" s="1">
        <v>0.2883</v>
      </c>
      <c r="L7" s="1" t="s">
        <v>99</v>
      </c>
      <c r="M7" s="1">
        <v>0.22550000000000001</v>
      </c>
      <c r="N7" s="1">
        <v>0.18779999999999999</v>
      </c>
      <c r="O7" s="1">
        <v>0.22539999999999999</v>
      </c>
      <c r="P7" s="1">
        <v>0.1883</v>
      </c>
      <c r="Q7" s="11">
        <v>0.2039</v>
      </c>
      <c r="R7" s="1">
        <v>0.28210000000000002</v>
      </c>
      <c r="S7" s="1">
        <v>0.20380000000000001</v>
      </c>
      <c r="T7" s="1">
        <v>0.2828</v>
      </c>
    </row>
    <row r="8" spans="1:20" x14ac:dyDescent="0.55000000000000004">
      <c r="A8" s="1" t="s">
        <v>24</v>
      </c>
      <c r="B8" s="1"/>
      <c r="C8" s="1"/>
      <c r="D8" s="1"/>
      <c r="E8" s="1"/>
      <c r="F8" s="1"/>
      <c r="G8" s="1"/>
      <c r="H8" s="1"/>
      <c r="I8" s="1"/>
      <c r="J8" t="s">
        <v>106</v>
      </c>
      <c r="L8" s="1" t="s">
        <v>24</v>
      </c>
      <c r="M8" s="1">
        <v>0.2263</v>
      </c>
      <c r="N8" s="1">
        <v>0.18579999999999999</v>
      </c>
      <c r="O8" s="1">
        <v>0.22539999999999999</v>
      </c>
      <c r="P8" s="1">
        <v>0.18820000000000001</v>
      </c>
      <c r="Q8" s="1">
        <v>0.20399999999999999</v>
      </c>
      <c r="R8" s="1">
        <v>0.28210000000000002</v>
      </c>
      <c r="S8" s="1">
        <v>0.2039</v>
      </c>
      <c r="T8" s="1">
        <v>0.28220000000000001</v>
      </c>
    </row>
    <row r="9" spans="1:20" x14ac:dyDescent="0.55000000000000004">
      <c r="A9" s="1" t="s">
        <v>21</v>
      </c>
      <c r="B9" s="1">
        <v>0.2288</v>
      </c>
      <c r="C9" s="1">
        <v>0.18079999999999999</v>
      </c>
      <c r="D9" s="1">
        <v>0.2288</v>
      </c>
      <c r="E9" s="1">
        <v>0.18079999999999999</v>
      </c>
      <c r="F9" s="1">
        <v>0.2092</v>
      </c>
      <c r="G9" s="1">
        <v>0.28360000000000002</v>
      </c>
      <c r="H9" s="1">
        <v>0.20530000000000001</v>
      </c>
      <c r="I9" s="1">
        <v>0.28370000000000001</v>
      </c>
      <c r="L9" s="1" t="s">
        <v>100</v>
      </c>
      <c r="M9" s="1">
        <v>0.23519999999999999</v>
      </c>
      <c r="N9" s="1">
        <v>9.1399999999999995E-2</v>
      </c>
      <c r="O9" s="1">
        <v>0.2344</v>
      </c>
      <c r="P9" s="1">
        <v>8.7999999999999995E-2</v>
      </c>
      <c r="Q9" s="1">
        <v>0.21260000000000001</v>
      </c>
      <c r="R9" s="1">
        <v>0.21110000000000001</v>
      </c>
      <c r="S9" s="1">
        <v>0.20580000000000001</v>
      </c>
      <c r="T9" s="1">
        <v>0.25769999999999998</v>
      </c>
    </row>
    <row r="10" spans="1:20" x14ac:dyDescent="0.55000000000000004">
      <c r="A10" s="1" t="s">
        <v>22</v>
      </c>
      <c r="B10" s="1">
        <v>0.2283</v>
      </c>
      <c r="C10" s="1">
        <v>0.18060000000000001</v>
      </c>
      <c r="D10" s="1">
        <v>0.2286</v>
      </c>
      <c r="E10" s="1">
        <v>0.18129999999999999</v>
      </c>
      <c r="F10" s="1">
        <v>0.2087</v>
      </c>
      <c r="G10" s="1">
        <v>0.28510000000000002</v>
      </c>
      <c r="H10" s="1">
        <v>0.2049</v>
      </c>
      <c r="I10" s="1">
        <v>0.28360000000000002</v>
      </c>
      <c r="L10" s="1" t="s">
        <v>103</v>
      </c>
      <c r="M10" s="1">
        <v>0.221</v>
      </c>
      <c r="N10" s="1">
        <v>0.21590000000000001</v>
      </c>
      <c r="O10" s="1">
        <v>0.221</v>
      </c>
      <c r="P10" s="1">
        <v>0.2177</v>
      </c>
      <c r="Q10" s="1">
        <v>0.19620000000000001</v>
      </c>
      <c r="R10" s="1">
        <v>0.35010000000000002</v>
      </c>
      <c r="S10" s="1">
        <v>0.1875</v>
      </c>
      <c r="T10" s="1">
        <v>0.39500000000000002</v>
      </c>
    </row>
    <row r="11" spans="1:20" x14ac:dyDescent="0.55000000000000004">
      <c r="A11" s="1" t="s">
        <v>52</v>
      </c>
      <c r="B11" s="1"/>
      <c r="C11" s="1"/>
      <c r="D11" s="1"/>
      <c r="E11" s="1"/>
      <c r="F11" s="1"/>
      <c r="G11" s="1"/>
      <c r="H11" s="1"/>
      <c r="I11" s="1"/>
      <c r="J11" t="s">
        <v>106</v>
      </c>
      <c r="L11" s="1" t="s">
        <v>61</v>
      </c>
      <c r="M11" s="1">
        <v>0.22259999999999999</v>
      </c>
      <c r="N11" s="1">
        <v>0.21049999999999999</v>
      </c>
      <c r="O11" s="1">
        <v>0.22209999999999999</v>
      </c>
      <c r="P11" s="1">
        <v>0.21229999999999999</v>
      </c>
      <c r="Q11" s="1">
        <v>0.19739999999999999</v>
      </c>
      <c r="R11" s="1">
        <v>0.34599999999999997</v>
      </c>
      <c r="S11" s="1">
        <v>0.19020000000000001</v>
      </c>
      <c r="T11" s="1">
        <v>0.38279999999999997</v>
      </c>
    </row>
    <row r="12" spans="1:20" x14ac:dyDescent="0.55000000000000004">
      <c r="A12" s="1" t="s">
        <v>53</v>
      </c>
      <c r="B12" s="1"/>
      <c r="C12" s="1"/>
      <c r="D12" s="1"/>
      <c r="E12" s="1"/>
      <c r="F12" s="1"/>
      <c r="G12" s="1"/>
      <c r="H12" s="1"/>
      <c r="I12" s="1"/>
      <c r="J12" t="s">
        <v>106</v>
      </c>
      <c r="L12" s="1" t="s">
        <v>104</v>
      </c>
      <c r="M12" s="1">
        <v>0.22189999999999999</v>
      </c>
      <c r="N12" s="1">
        <v>0.2102</v>
      </c>
      <c r="O12" s="1">
        <v>0.222</v>
      </c>
      <c r="P12" s="1">
        <v>0.2104</v>
      </c>
      <c r="Q12" s="1">
        <v>0.1978</v>
      </c>
      <c r="R12" s="1">
        <v>0.34239999999999998</v>
      </c>
      <c r="S12" s="1">
        <v>0.1918</v>
      </c>
      <c r="T12" s="1">
        <v>0.37859999999999999</v>
      </c>
    </row>
    <row r="13" spans="1:20" x14ac:dyDescent="0.55000000000000004">
      <c r="A13" s="1" t="s">
        <v>23</v>
      </c>
      <c r="B13" s="1"/>
      <c r="C13" s="1"/>
      <c r="D13" s="1"/>
      <c r="E13" s="1"/>
      <c r="F13" s="1"/>
      <c r="G13" s="1"/>
      <c r="H13" s="1"/>
      <c r="I13" s="1"/>
      <c r="J13" t="s">
        <v>106</v>
      </c>
      <c r="L13" s="1" t="s">
        <v>105</v>
      </c>
      <c r="M13" s="1">
        <v>0.2215</v>
      </c>
      <c r="N13" s="1">
        <v>0.2162</v>
      </c>
      <c r="O13" s="1">
        <v>0.22109999999999999</v>
      </c>
      <c r="P13" s="1">
        <v>0.2177</v>
      </c>
      <c r="Q13" s="1">
        <v>0.1963</v>
      </c>
      <c r="R13" s="1">
        <v>0.35039999999999999</v>
      </c>
      <c r="S13" s="1">
        <v>0.18820000000000001</v>
      </c>
      <c r="T13" s="1">
        <v>0.39340000000000003</v>
      </c>
    </row>
    <row r="14" spans="1:20" x14ac:dyDescent="0.55000000000000004">
      <c r="A14" s="1" t="s">
        <v>56</v>
      </c>
      <c r="B14" s="1">
        <v>0.23</v>
      </c>
      <c r="C14" s="1">
        <v>0.17849999999999999</v>
      </c>
      <c r="D14" s="1">
        <v>0.22950000000000001</v>
      </c>
      <c r="E14" s="1">
        <v>0.17979999999999999</v>
      </c>
      <c r="F14" s="1">
        <v>0.21049999999999999</v>
      </c>
      <c r="G14" s="1">
        <v>0.28089999999999998</v>
      </c>
      <c r="H14" s="1">
        <v>0.2069</v>
      </c>
      <c r="I14" s="1">
        <v>0.27879999999999999</v>
      </c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55000000000000004">
      <c r="A15" s="1" t="s">
        <v>60</v>
      </c>
      <c r="B15" s="1">
        <v>0.2293</v>
      </c>
      <c r="C15" s="1">
        <v>0.1797</v>
      </c>
      <c r="D15" s="1">
        <v>0.2286</v>
      </c>
      <c r="E15" s="1">
        <v>0.1807</v>
      </c>
      <c r="F15" s="1">
        <v>0.2082</v>
      </c>
      <c r="G15" s="1">
        <v>0.28620000000000001</v>
      </c>
      <c r="H15" s="1">
        <v>0.20469999999999999</v>
      </c>
      <c r="I15" s="1">
        <v>0.28270000000000001</v>
      </c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55000000000000004">
      <c r="A16" s="1" t="s">
        <v>54</v>
      </c>
      <c r="B16" s="1">
        <v>0.22850000000000001</v>
      </c>
      <c r="C16" s="1">
        <v>0.17780000000000001</v>
      </c>
      <c r="D16" s="1">
        <v>0.22889999999999999</v>
      </c>
      <c r="E16" s="1">
        <v>0.17899999999999999</v>
      </c>
      <c r="F16" s="1">
        <v>0.20830000000000001</v>
      </c>
      <c r="G16" s="1">
        <v>0.28599999999999998</v>
      </c>
      <c r="H16" s="1">
        <v>0.2051</v>
      </c>
      <c r="I16" s="1">
        <v>0.27860000000000001</v>
      </c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55000000000000004">
      <c r="A17" s="1" t="s">
        <v>57</v>
      </c>
      <c r="B17" s="1">
        <v>0.22800000000000001</v>
      </c>
      <c r="C17" s="1">
        <v>0.1782</v>
      </c>
      <c r="D17" s="1">
        <v>0.2283</v>
      </c>
      <c r="E17" s="1">
        <v>0.17929999999999999</v>
      </c>
      <c r="F17" s="1">
        <v>0.2069</v>
      </c>
      <c r="G17" s="1">
        <v>0.2863</v>
      </c>
      <c r="H17" s="1">
        <v>0.2034</v>
      </c>
      <c r="I17" s="1">
        <v>0.28699999999999998</v>
      </c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55000000000000004">
      <c r="A18" s="1" t="s">
        <v>55</v>
      </c>
      <c r="B18" s="1"/>
      <c r="C18" s="1"/>
      <c r="D18" s="1"/>
      <c r="E18" s="1"/>
      <c r="F18" s="1"/>
      <c r="G18" s="1"/>
      <c r="H18" s="1"/>
      <c r="I18" s="1"/>
      <c r="J18" t="s">
        <v>106</v>
      </c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55000000000000004">
      <c r="A19" s="1" t="s">
        <v>59</v>
      </c>
      <c r="B19" s="1">
        <v>0.23050000000000001</v>
      </c>
      <c r="C19" s="1">
        <v>0.17710000000000001</v>
      </c>
      <c r="D19" s="1">
        <v>0.22939999999999999</v>
      </c>
      <c r="E19" s="1">
        <v>0.17899999999999999</v>
      </c>
      <c r="F19" s="1">
        <v>0.2094</v>
      </c>
      <c r="G19" s="1">
        <v>0.28220000000000001</v>
      </c>
      <c r="H19" s="1">
        <v>0.20580000000000001</v>
      </c>
      <c r="I19" s="1">
        <v>0.28310000000000002</v>
      </c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55000000000000004">
      <c r="A20" s="1" t="s">
        <v>61</v>
      </c>
      <c r="B20" s="1">
        <v>0.23019999999999999</v>
      </c>
      <c r="C20" s="1">
        <v>0.1741</v>
      </c>
      <c r="D20" s="1">
        <v>0.2298</v>
      </c>
      <c r="E20" s="1">
        <v>0.17419999999999999</v>
      </c>
      <c r="F20" s="1">
        <v>0.21010000000000001</v>
      </c>
      <c r="G20" s="1">
        <v>0.28220000000000001</v>
      </c>
      <c r="H20" s="1">
        <v>0.20710000000000001</v>
      </c>
      <c r="I20" s="1">
        <v>0.2702</v>
      </c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55000000000000004">
      <c r="C21" t="s">
        <v>62</v>
      </c>
      <c r="D21" t="s">
        <v>63</v>
      </c>
      <c r="E21" t="s">
        <v>64</v>
      </c>
      <c r="F21" t="s">
        <v>65</v>
      </c>
      <c r="M21" t="s">
        <v>64</v>
      </c>
      <c r="N21" t="s">
        <v>18</v>
      </c>
      <c r="O21" t="s">
        <v>20</v>
      </c>
      <c r="P21" t="s">
        <v>62</v>
      </c>
      <c r="Q21" t="s">
        <v>101</v>
      </c>
      <c r="R21" t="s">
        <v>102</v>
      </c>
    </row>
    <row r="22" spans="1:20" x14ac:dyDescent="0.55000000000000004">
      <c r="C22" t="s">
        <v>1</v>
      </c>
      <c r="D22" t="s">
        <v>3</v>
      </c>
    </row>
    <row r="23" spans="1:20" x14ac:dyDescent="0.55000000000000004">
      <c r="A23" s="4">
        <v>46085</v>
      </c>
      <c r="B23" t="s">
        <v>59</v>
      </c>
      <c r="C23">
        <v>0.2147</v>
      </c>
      <c r="D23">
        <v>0.2006</v>
      </c>
    </row>
    <row r="24" spans="1:20" x14ac:dyDescent="0.55000000000000004">
      <c r="A24" s="4">
        <v>46090</v>
      </c>
      <c r="B24" t="s">
        <v>61</v>
      </c>
      <c r="C24">
        <v>0.2142</v>
      </c>
      <c r="D24">
        <v>0.2334</v>
      </c>
    </row>
    <row r="25" spans="1:20" x14ac:dyDescent="0.55000000000000004">
      <c r="A25" s="4">
        <v>46098</v>
      </c>
      <c r="B25" t="s">
        <v>53</v>
      </c>
      <c r="C25">
        <v>0.20810000000000001</v>
      </c>
      <c r="D25">
        <v>0.24890000000000001</v>
      </c>
    </row>
    <row r="26" spans="1:20" x14ac:dyDescent="0.55000000000000004">
      <c r="A26" s="4">
        <v>46112</v>
      </c>
      <c r="B26" t="s">
        <v>53</v>
      </c>
      <c r="C26">
        <v>0.2056</v>
      </c>
      <c r="D26">
        <v>0.2727</v>
      </c>
    </row>
    <row r="27" spans="1:20" x14ac:dyDescent="0.55000000000000004">
      <c r="A27" s="4">
        <v>46151</v>
      </c>
      <c r="B27" t="s">
        <v>53</v>
      </c>
      <c r="C27">
        <v>0.20519999999999999</v>
      </c>
      <c r="D27">
        <v>0.27210000000000001</v>
      </c>
      <c r="J27" s="5"/>
    </row>
    <row r="28" spans="1:20" x14ac:dyDescent="0.55000000000000004">
      <c r="A28" s="4">
        <v>46154</v>
      </c>
      <c r="B28" t="s">
        <v>53</v>
      </c>
      <c r="C28">
        <v>0.20250000000000001</v>
      </c>
      <c r="D28">
        <v>0.27860000000000001</v>
      </c>
    </row>
    <row r="29" spans="1:20" x14ac:dyDescent="0.55000000000000004">
      <c r="A29" s="4">
        <v>46169</v>
      </c>
      <c r="B29" t="s">
        <v>20</v>
      </c>
      <c r="C29">
        <v>0.2039</v>
      </c>
      <c r="D29">
        <v>0.2883</v>
      </c>
    </row>
  </sheetData>
  <mergeCells count="8">
    <mergeCell ref="O1:P1"/>
    <mergeCell ref="Q1:R1"/>
    <mergeCell ref="S1:T1"/>
    <mergeCell ref="B1:C1"/>
    <mergeCell ref="D1:E1"/>
    <mergeCell ref="F1:G1"/>
    <mergeCell ref="H1:I1"/>
    <mergeCell ref="M1:N1"/>
  </mergeCells>
  <conditionalFormatting sqref="B3:B21">
    <cfRule type="top10" dxfId="16" priority="54" bottom="1" rank="1"/>
  </conditionalFormatting>
  <conditionalFormatting sqref="C3:C21">
    <cfRule type="top10" dxfId="15" priority="125" rank="1"/>
  </conditionalFormatting>
  <conditionalFormatting sqref="D3:D21 D24:D29">
    <cfRule type="top10" dxfId="14" priority="14" bottom="1" rank="1"/>
  </conditionalFormatting>
  <conditionalFormatting sqref="E3:E21">
    <cfRule type="top10" dxfId="13" priority="11" rank="1"/>
  </conditionalFormatting>
  <conditionalFormatting sqref="E23">
    <cfRule type="top10" dxfId="12" priority="22" rank="1"/>
  </conditionalFormatting>
  <conditionalFormatting sqref="F3:F21">
    <cfRule type="top10" dxfId="11" priority="13" bottom="1" rank="1"/>
  </conditionalFormatting>
  <conditionalFormatting sqref="G3:G21">
    <cfRule type="top10" dxfId="10" priority="10" rank="1"/>
  </conditionalFormatting>
  <conditionalFormatting sqref="H3:H21">
    <cfRule type="top10" dxfId="9" priority="12" bottom="1" rank="1"/>
  </conditionalFormatting>
  <conditionalFormatting sqref="I3:I21">
    <cfRule type="top10" dxfId="8" priority="9" rank="1"/>
  </conditionalFormatting>
  <conditionalFormatting sqref="M3:M20">
    <cfRule type="top10" dxfId="7" priority="7" bottom="1" rank="1"/>
  </conditionalFormatting>
  <conditionalFormatting sqref="N3:N20">
    <cfRule type="top10" dxfId="6" priority="8" rank="1"/>
  </conditionalFormatting>
  <conditionalFormatting sqref="O3:O20">
    <cfRule type="top10" dxfId="5" priority="6" bottom="1" rank="1"/>
  </conditionalFormatting>
  <conditionalFormatting sqref="P3:P20">
    <cfRule type="top10" dxfId="4" priority="3" rank="1"/>
  </conditionalFormatting>
  <conditionalFormatting sqref="Q3:Q20">
    <cfRule type="top10" dxfId="3" priority="5" bottom="1" rank="1"/>
  </conditionalFormatting>
  <conditionalFormatting sqref="R3:R20">
    <cfRule type="top10" dxfId="2" priority="2" rank="1"/>
  </conditionalFormatting>
  <conditionalFormatting sqref="S3:S20">
    <cfRule type="top10" dxfId="1" priority="4" bottom="1" rank="1"/>
  </conditionalFormatting>
  <conditionalFormatting sqref="T3:T20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zoomScale="85" zoomScaleNormal="90" workbookViewId="0">
      <pane ySplit="1" topLeftCell="A207" activePane="bottomLeft" state="frozen"/>
      <selection pane="bottomLeft" activeCell="I234" sqref="I234:J234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5" max="15" width="17.2070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>
        <v>6</v>
      </c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>
        <v>14</v>
      </c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>
        <v>5</v>
      </c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>
        <v>20</v>
      </c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>
        <v>24</v>
      </c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>
        <v>19</v>
      </c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>
        <v>7</v>
      </c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>
        <v>25</v>
      </c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>
        <v>9</v>
      </c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>
        <v>10</v>
      </c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>
        <v>2</v>
      </c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>
        <v>8</v>
      </c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>
        <v>11</v>
      </c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>
        <v>13</v>
      </c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>
        <v>15</v>
      </c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>
        <v>18</v>
      </c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>
        <v>21</v>
      </c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>
        <v>16</v>
      </c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>
        <v>22</v>
      </c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>
        <v>12</v>
      </c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>
        <v>17</v>
      </c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A127" s="6" t="s">
        <v>39</v>
      </c>
      <c r="B127" s="6">
        <v>7.58</v>
      </c>
      <c r="C127" s="5">
        <f>B127-L127</f>
        <v>2.0999999999999996</v>
      </c>
      <c r="D127" s="5">
        <f>B127+L127</f>
        <v>13.06</v>
      </c>
      <c r="E127" s="5">
        <v>2.1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77</v>
      </c>
      <c r="L127">
        <v>5.48</v>
      </c>
    </row>
    <row r="128" spans="1:15" x14ac:dyDescent="0.55000000000000004">
      <c r="A128" s="6" t="s">
        <v>27</v>
      </c>
      <c r="B128" s="6">
        <v>7.95</v>
      </c>
      <c r="C128" s="5">
        <f t="shared" ref="C128:C151" si="10">B128-L128</f>
        <v>2.4699999999999998</v>
      </c>
      <c r="D128" s="5">
        <f t="shared" ref="D128:D151" si="11">B128+L128</f>
        <v>13.43</v>
      </c>
      <c r="E128" s="5">
        <v>7.95</v>
      </c>
      <c r="F128">
        <v>2</v>
      </c>
      <c r="G128" s="8">
        <v>8</v>
      </c>
      <c r="H128" s="8">
        <v>6</v>
      </c>
      <c r="I128" t="s">
        <v>89</v>
      </c>
      <c r="J128" t="s">
        <v>76</v>
      </c>
      <c r="K128" t="s">
        <v>77</v>
      </c>
      <c r="L128">
        <v>5.48</v>
      </c>
      <c r="N128" s="6"/>
      <c r="O128" s="5"/>
    </row>
    <row r="129" spans="1:15" x14ac:dyDescent="0.55000000000000004">
      <c r="A129" s="6" t="s">
        <v>36</v>
      </c>
      <c r="B129" s="6">
        <v>8.17</v>
      </c>
      <c r="C129" s="5">
        <f t="shared" si="10"/>
        <v>2.6899999999999995</v>
      </c>
      <c r="D129" s="5">
        <f t="shared" si="11"/>
        <v>13.65</v>
      </c>
      <c r="E129" s="5">
        <v>8.17</v>
      </c>
      <c r="F129">
        <v>3</v>
      </c>
      <c r="G129" s="8">
        <v>9</v>
      </c>
      <c r="H129" s="8">
        <v>16</v>
      </c>
      <c r="I129" t="s">
        <v>89</v>
      </c>
      <c r="J129" t="s">
        <v>76</v>
      </c>
      <c r="K129" t="s">
        <v>77</v>
      </c>
      <c r="L129">
        <v>5.48</v>
      </c>
      <c r="N129" s="6"/>
      <c r="O129" s="5"/>
    </row>
    <row r="130" spans="1:15" x14ac:dyDescent="0.55000000000000004">
      <c r="A130" s="6" t="s">
        <v>34</v>
      </c>
      <c r="B130" s="6">
        <v>8.92</v>
      </c>
      <c r="C130" s="5">
        <f t="shared" si="10"/>
        <v>3.4399999999999995</v>
      </c>
      <c r="D130" s="5">
        <f t="shared" si="11"/>
        <v>14.4</v>
      </c>
      <c r="E130" s="5">
        <v>3.44</v>
      </c>
      <c r="F130">
        <v>4</v>
      </c>
      <c r="G130" s="8">
        <v>2</v>
      </c>
      <c r="H130" s="8">
        <v>1</v>
      </c>
      <c r="I130" t="s">
        <v>89</v>
      </c>
      <c r="J130" t="s">
        <v>76</v>
      </c>
      <c r="K130" t="s">
        <v>77</v>
      </c>
      <c r="L130">
        <v>5.48</v>
      </c>
      <c r="N130" s="6"/>
      <c r="O130" s="5"/>
    </row>
    <row r="131" spans="1:15" x14ac:dyDescent="0.55000000000000004">
      <c r="A131" s="6" t="s">
        <v>38</v>
      </c>
      <c r="B131" s="6">
        <v>8.93</v>
      </c>
      <c r="C131" s="5">
        <f t="shared" si="10"/>
        <v>3.4499999999999993</v>
      </c>
      <c r="D131" s="5">
        <f t="shared" si="11"/>
        <v>14.41</v>
      </c>
      <c r="E131" s="5">
        <v>3.45</v>
      </c>
      <c r="F131">
        <v>5</v>
      </c>
      <c r="G131" s="8">
        <v>3</v>
      </c>
      <c r="H131" s="8">
        <v>18</v>
      </c>
      <c r="I131" t="s">
        <v>89</v>
      </c>
      <c r="J131" t="s">
        <v>76</v>
      </c>
      <c r="K131" t="s">
        <v>77</v>
      </c>
      <c r="L131">
        <v>5.48</v>
      </c>
      <c r="N131" s="6"/>
      <c r="O131" s="5"/>
    </row>
    <row r="132" spans="1:15" x14ac:dyDescent="0.55000000000000004">
      <c r="A132" s="6" t="s">
        <v>37</v>
      </c>
      <c r="B132" s="6">
        <v>8.9700000000000006</v>
      </c>
      <c r="C132" s="5">
        <f t="shared" si="10"/>
        <v>3.49</v>
      </c>
      <c r="D132" s="5">
        <f t="shared" si="11"/>
        <v>14.450000000000001</v>
      </c>
      <c r="E132" s="5">
        <v>8.9700000000000006</v>
      </c>
      <c r="F132">
        <v>6</v>
      </c>
      <c r="G132" s="8">
        <v>11</v>
      </c>
      <c r="H132" s="8">
        <v>4</v>
      </c>
      <c r="I132" t="s">
        <v>89</v>
      </c>
      <c r="J132" t="s">
        <v>76</v>
      </c>
      <c r="K132" t="s">
        <v>77</v>
      </c>
      <c r="L132">
        <v>5.48</v>
      </c>
      <c r="N132" s="6"/>
      <c r="O132" s="5"/>
    </row>
    <row r="133" spans="1:15" x14ac:dyDescent="0.55000000000000004">
      <c r="A133" s="6" t="s">
        <v>33</v>
      </c>
      <c r="B133" s="6">
        <v>9.8000000000000007</v>
      </c>
      <c r="C133" s="5">
        <f t="shared" si="10"/>
        <v>4.32</v>
      </c>
      <c r="D133" s="5">
        <f t="shared" si="11"/>
        <v>15.280000000000001</v>
      </c>
      <c r="E133" s="5">
        <v>4.32</v>
      </c>
      <c r="F133">
        <v>7</v>
      </c>
      <c r="G133" s="8">
        <v>4</v>
      </c>
      <c r="H133" s="8">
        <v>9</v>
      </c>
      <c r="I133" t="s">
        <v>89</v>
      </c>
      <c r="J133" t="s">
        <v>76</v>
      </c>
      <c r="K133" t="s">
        <v>77</v>
      </c>
      <c r="L133">
        <v>5.48</v>
      </c>
      <c r="N133" s="6"/>
      <c r="O133" s="5"/>
    </row>
    <row r="134" spans="1:15" x14ac:dyDescent="0.55000000000000004">
      <c r="A134" s="6" t="s">
        <v>25</v>
      </c>
      <c r="B134" s="6">
        <v>10.1</v>
      </c>
      <c r="C134" s="5">
        <f t="shared" si="10"/>
        <v>4.6199999999999992</v>
      </c>
      <c r="D134" s="5">
        <f t="shared" si="11"/>
        <v>15.58</v>
      </c>
      <c r="E134" s="5">
        <v>10.1</v>
      </c>
      <c r="F134">
        <v>8</v>
      </c>
      <c r="G134" s="8">
        <v>12</v>
      </c>
      <c r="H134" s="8">
        <v>11</v>
      </c>
      <c r="I134" t="s">
        <v>89</v>
      </c>
      <c r="J134" t="s">
        <v>76</v>
      </c>
      <c r="K134" t="s">
        <v>77</v>
      </c>
      <c r="L134">
        <v>5.48</v>
      </c>
      <c r="N134" s="6"/>
      <c r="O134" s="5"/>
    </row>
    <row r="135" spans="1:15" x14ac:dyDescent="0.55000000000000004">
      <c r="A135" s="6" t="s">
        <v>35</v>
      </c>
      <c r="B135" s="6">
        <v>10.33</v>
      </c>
      <c r="C135" s="5">
        <f t="shared" si="10"/>
        <v>4.8499999999999996</v>
      </c>
      <c r="D135" s="5">
        <f t="shared" si="11"/>
        <v>15.81</v>
      </c>
      <c r="E135" s="5">
        <v>4.8499999999999996</v>
      </c>
      <c r="F135">
        <v>9</v>
      </c>
      <c r="G135" s="8">
        <v>5</v>
      </c>
      <c r="H135" s="8">
        <v>2</v>
      </c>
      <c r="I135" t="s">
        <v>89</v>
      </c>
      <c r="J135" t="s">
        <v>76</v>
      </c>
      <c r="K135" t="s">
        <v>77</v>
      </c>
      <c r="L135">
        <v>5.48</v>
      </c>
      <c r="N135" s="6"/>
      <c r="O135" s="5"/>
    </row>
    <row r="136" spans="1:15" x14ac:dyDescent="0.55000000000000004">
      <c r="A136" s="6" t="s">
        <v>40</v>
      </c>
      <c r="B136" s="6">
        <v>10.34</v>
      </c>
      <c r="C136" s="5">
        <f t="shared" si="10"/>
        <v>4.8599999999999994</v>
      </c>
      <c r="D136" s="5">
        <f t="shared" si="11"/>
        <v>15.82</v>
      </c>
      <c r="E136" s="5">
        <v>10.34</v>
      </c>
      <c r="F136">
        <v>10</v>
      </c>
      <c r="G136" s="8">
        <v>13</v>
      </c>
      <c r="H136" s="8">
        <v>13</v>
      </c>
      <c r="I136" t="s">
        <v>89</v>
      </c>
      <c r="J136" t="s">
        <v>76</v>
      </c>
      <c r="K136" t="s">
        <v>77</v>
      </c>
      <c r="L136">
        <v>5.48</v>
      </c>
      <c r="N136" s="6"/>
      <c r="O136" s="5"/>
    </row>
    <row r="137" spans="1:15" x14ac:dyDescent="0.55000000000000004">
      <c r="A137" s="6" t="s">
        <v>28</v>
      </c>
      <c r="B137" s="6">
        <v>10.58</v>
      </c>
      <c r="C137" s="5">
        <f t="shared" si="10"/>
        <v>5.0999999999999996</v>
      </c>
      <c r="D137" s="5">
        <f t="shared" si="11"/>
        <v>16.060000000000002</v>
      </c>
      <c r="E137" s="5">
        <v>10.58</v>
      </c>
      <c r="F137">
        <v>11</v>
      </c>
      <c r="G137" s="8">
        <v>14</v>
      </c>
      <c r="H137" s="8">
        <v>22</v>
      </c>
      <c r="I137" t="s">
        <v>89</v>
      </c>
      <c r="J137" t="s">
        <v>76</v>
      </c>
      <c r="K137" t="s">
        <v>77</v>
      </c>
      <c r="L137">
        <v>5.48</v>
      </c>
      <c r="N137" s="6"/>
      <c r="O137" s="5"/>
    </row>
    <row r="138" spans="1:15" x14ac:dyDescent="0.55000000000000004">
      <c r="A138" s="6" t="s">
        <v>45</v>
      </c>
      <c r="B138" s="6">
        <v>11.18</v>
      </c>
      <c r="C138" s="5">
        <f t="shared" si="10"/>
        <v>5.6999999999999993</v>
      </c>
      <c r="D138" s="5">
        <f t="shared" si="11"/>
        <v>16.66</v>
      </c>
      <c r="E138" s="5">
        <v>11.18</v>
      </c>
      <c r="F138">
        <v>12</v>
      </c>
      <c r="G138" s="8">
        <v>15</v>
      </c>
      <c r="H138" s="8">
        <v>25</v>
      </c>
      <c r="I138" t="s">
        <v>89</v>
      </c>
      <c r="J138" t="s">
        <v>76</v>
      </c>
      <c r="K138" t="s">
        <v>77</v>
      </c>
      <c r="L138">
        <v>5.48</v>
      </c>
      <c r="N138" s="6"/>
      <c r="O138" s="5"/>
    </row>
    <row r="139" spans="1:15" x14ac:dyDescent="0.55000000000000004">
      <c r="A139" s="6" t="s">
        <v>41</v>
      </c>
      <c r="B139" s="6">
        <v>11.79</v>
      </c>
      <c r="C139" s="5">
        <f t="shared" si="10"/>
        <v>6.3099999999999987</v>
      </c>
      <c r="D139" s="5">
        <f t="shared" si="11"/>
        <v>17.27</v>
      </c>
      <c r="E139" s="5">
        <v>6.31</v>
      </c>
      <c r="F139">
        <v>13</v>
      </c>
      <c r="G139" s="8">
        <v>6</v>
      </c>
      <c r="H139" s="8">
        <v>3</v>
      </c>
      <c r="I139" t="s">
        <v>89</v>
      </c>
      <c r="J139" t="s">
        <v>76</v>
      </c>
      <c r="K139" t="s">
        <v>77</v>
      </c>
      <c r="L139">
        <v>5.48</v>
      </c>
      <c r="N139" s="6"/>
      <c r="O139" s="5"/>
    </row>
    <row r="140" spans="1:15" x14ac:dyDescent="0.55000000000000004">
      <c r="A140" s="6" t="s">
        <v>44</v>
      </c>
      <c r="B140" s="6">
        <v>12.06</v>
      </c>
      <c r="C140" s="5">
        <f t="shared" si="10"/>
        <v>6.58</v>
      </c>
      <c r="D140" s="5">
        <f t="shared" si="11"/>
        <v>17.54</v>
      </c>
      <c r="E140" s="5">
        <v>6.58</v>
      </c>
      <c r="F140">
        <v>14</v>
      </c>
      <c r="G140" s="8">
        <v>7</v>
      </c>
      <c r="H140" s="8">
        <v>23</v>
      </c>
      <c r="I140" t="s">
        <v>89</v>
      </c>
      <c r="J140" t="s">
        <v>76</v>
      </c>
      <c r="K140" t="s">
        <v>77</v>
      </c>
      <c r="L140">
        <v>5.48</v>
      </c>
      <c r="N140" s="6"/>
      <c r="O140" s="5"/>
    </row>
    <row r="141" spans="1:15" x14ac:dyDescent="0.55000000000000004">
      <c r="A141" s="6" t="s">
        <v>48</v>
      </c>
      <c r="B141" s="6">
        <v>12.35</v>
      </c>
      <c r="C141" s="5">
        <f t="shared" si="10"/>
        <v>6.8699999999999992</v>
      </c>
      <c r="D141" s="5">
        <f t="shared" si="11"/>
        <v>17.829999999999998</v>
      </c>
      <c r="E141" s="5">
        <v>12.35</v>
      </c>
      <c r="F141">
        <v>15</v>
      </c>
      <c r="G141" s="8">
        <v>16</v>
      </c>
      <c r="H141" s="8">
        <v>12</v>
      </c>
      <c r="I141" t="s">
        <v>89</v>
      </c>
      <c r="J141" t="s">
        <v>76</v>
      </c>
      <c r="K141" t="s">
        <v>77</v>
      </c>
      <c r="L141">
        <v>5.48</v>
      </c>
      <c r="N141" s="6"/>
      <c r="O141" s="5"/>
    </row>
    <row r="142" spans="1:15" x14ac:dyDescent="0.55000000000000004">
      <c r="A142" s="6" t="s">
        <v>31</v>
      </c>
      <c r="B142" s="6">
        <v>13.76</v>
      </c>
      <c r="C142" s="5">
        <f t="shared" si="10"/>
        <v>8.2799999999999994</v>
      </c>
      <c r="D142" s="5">
        <f t="shared" si="11"/>
        <v>19.240000000000002</v>
      </c>
      <c r="E142" s="5">
        <v>13.76</v>
      </c>
      <c r="F142">
        <v>16</v>
      </c>
      <c r="G142" s="8">
        <v>17</v>
      </c>
      <c r="H142" s="8">
        <v>21</v>
      </c>
      <c r="I142" t="s">
        <v>89</v>
      </c>
      <c r="J142" t="s">
        <v>76</v>
      </c>
      <c r="K142" t="s">
        <v>77</v>
      </c>
      <c r="L142">
        <v>5.48</v>
      </c>
      <c r="N142" s="6"/>
      <c r="O142" s="5"/>
    </row>
    <row r="143" spans="1:15" x14ac:dyDescent="0.55000000000000004">
      <c r="A143" s="6" t="s">
        <v>42</v>
      </c>
      <c r="B143" s="6">
        <v>13.83</v>
      </c>
      <c r="C143" s="5">
        <f t="shared" si="10"/>
        <v>8.35</v>
      </c>
      <c r="D143" s="5">
        <f t="shared" si="11"/>
        <v>19.310000000000002</v>
      </c>
      <c r="E143" s="5">
        <v>19.309999999999999</v>
      </c>
      <c r="F143">
        <v>17</v>
      </c>
      <c r="G143" s="8">
        <v>24</v>
      </c>
      <c r="H143" s="8">
        <v>24</v>
      </c>
      <c r="I143" t="s">
        <v>89</v>
      </c>
      <c r="J143" t="s">
        <v>76</v>
      </c>
      <c r="K143" t="s">
        <v>77</v>
      </c>
      <c r="L143">
        <v>5.48</v>
      </c>
      <c r="N143" s="6"/>
      <c r="O143" s="5"/>
    </row>
    <row r="144" spans="1:15" x14ac:dyDescent="0.55000000000000004">
      <c r="A144" s="6" t="s">
        <v>49</v>
      </c>
      <c r="B144" s="6">
        <v>13.95</v>
      </c>
      <c r="C144" s="5">
        <f t="shared" si="10"/>
        <v>8.4699999999999989</v>
      </c>
      <c r="D144" s="5">
        <f t="shared" si="11"/>
        <v>19.43</v>
      </c>
      <c r="E144" s="5">
        <v>13.95</v>
      </c>
      <c r="F144">
        <v>18</v>
      </c>
      <c r="G144" s="8">
        <v>18</v>
      </c>
      <c r="H144" s="8">
        <v>15</v>
      </c>
      <c r="I144" t="s">
        <v>89</v>
      </c>
      <c r="J144" t="s">
        <v>76</v>
      </c>
      <c r="K144" t="s">
        <v>77</v>
      </c>
      <c r="L144">
        <v>5.48</v>
      </c>
      <c r="N144" s="6"/>
      <c r="O144" s="5"/>
    </row>
    <row r="145" spans="1:16" x14ac:dyDescent="0.55000000000000004">
      <c r="A145" s="6" t="s">
        <v>29</v>
      </c>
      <c r="B145" s="6">
        <v>14.34</v>
      </c>
      <c r="C145" s="5">
        <f t="shared" si="10"/>
        <v>8.86</v>
      </c>
      <c r="D145" s="5">
        <f t="shared" si="11"/>
        <v>19.82</v>
      </c>
      <c r="E145" s="5">
        <v>14.34</v>
      </c>
      <c r="F145">
        <v>19</v>
      </c>
      <c r="G145" s="8">
        <v>19</v>
      </c>
      <c r="H145" s="8">
        <v>14</v>
      </c>
      <c r="I145" t="s">
        <v>89</v>
      </c>
      <c r="J145" t="s">
        <v>76</v>
      </c>
      <c r="K145" t="s">
        <v>77</v>
      </c>
      <c r="L145">
        <v>5.48</v>
      </c>
      <c r="N145" s="6"/>
      <c r="O145" s="5"/>
    </row>
    <row r="146" spans="1:16" x14ac:dyDescent="0.55000000000000004">
      <c r="A146" s="6" t="s">
        <v>30</v>
      </c>
      <c r="B146" s="6">
        <v>14.42</v>
      </c>
      <c r="C146" s="5">
        <f t="shared" si="10"/>
        <v>8.94</v>
      </c>
      <c r="D146" s="5">
        <f t="shared" si="11"/>
        <v>19.899999999999999</v>
      </c>
      <c r="E146" s="5">
        <v>8.94</v>
      </c>
      <c r="F146">
        <v>20</v>
      </c>
      <c r="G146" s="8">
        <v>10</v>
      </c>
      <c r="H146" s="8">
        <v>7</v>
      </c>
      <c r="I146" t="s">
        <v>89</v>
      </c>
      <c r="J146" t="s">
        <v>76</v>
      </c>
      <c r="K146" t="s">
        <v>77</v>
      </c>
      <c r="L146">
        <v>5.48</v>
      </c>
      <c r="N146" s="6"/>
      <c r="O146" s="5"/>
    </row>
    <row r="147" spans="1:16" x14ac:dyDescent="0.55000000000000004">
      <c r="A147" s="6" t="s">
        <v>47</v>
      </c>
      <c r="B147" s="6">
        <v>14.81</v>
      </c>
      <c r="C147" s="5">
        <f t="shared" si="10"/>
        <v>9.33</v>
      </c>
      <c r="D147" s="5">
        <f t="shared" si="11"/>
        <v>20.29</v>
      </c>
      <c r="E147" s="5">
        <v>14.81</v>
      </c>
      <c r="F147">
        <v>21</v>
      </c>
      <c r="G147" s="8">
        <v>20</v>
      </c>
      <c r="H147" s="8">
        <v>10</v>
      </c>
      <c r="I147" t="s">
        <v>89</v>
      </c>
      <c r="J147" t="s">
        <v>76</v>
      </c>
      <c r="K147" t="s">
        <v>77</v>
      </c>
      <c r="L147">
        <v>5.48</v>
      </c>
      <c r="N147" s="6"/>
      <c r="O147" s="5"/>
    </row>
    <row r="148" spans="1:16" x14ac:dyDescent="0.55000000000000004">
      <c r="A148" s="6" t="s">
        <v>26</v>
      </c>
      <c r="B148" s="6">
        <v>15.89</v>
      </c>
      <c r="C148" s="5">
        <f t="shared" si="10"/>
        <v>10.41</v>
      </c>
      <c r="D148" s="5">
        <f t="shared" si="11"/>
        <v>21.37</v>
      </c>
      <c r="E148" s="5">
        <v>15.89</v>
      </c>
      <c r="F148">
        <v>22</v>
      </c>
      <c r="G148" s="8">
        <v>21</v>
      </c>
      <c r="H148" s="8">
        <v>19</v>
      </c>
      <c r="I148" t="s">
        <v>89</v>
      </c>
      <c r="J148" t="s">
        <v>76</v>
      </c>
      <c r="K148" t="s">
        <v>77</v>
      </c>
      <c r="L148">
        <v>5.48</v>
      </c>
      <c r="N148" s="6"/>
      <c r="O148" s="5"/>
    </row>
    <row r="149" spans="1:16" x14ac:dyDescent="0.55000000000000004">
      <c r="A149" s="6" t="s">
        <v>32</v>
      </c>
      <c r="B149" s="6">
        <v>16.03</v>
      </c>
      <c r="C149" s="5">
        <f t="shared" si="10"/>
        <v>10.55</v>
      </c>
      <c r="D149" s="5">
        <f t="shared" si="11"/>
        <v>21.51</v>
      </c>
      <c r="E149" s="5">
        <v>16.03</v>
      </c>
      <c r="F149">
        <v>23</v>
      </c>
      <c r="G149" s="8">
        <v>22</v>
      </c>
      <c r="H149" s="8">
        <v>8</v>
      </c>
      <c r="I149" t="s">
        <v>89</v>
      </c>
      <c r="J149" t="s">
        <v>76</v>
      </c>
      <c r="K149" t="s">
        <v>77</v>
      </c>
      <c r="L149">
        <v>5.48</v>
      </c>
      <c r="N149" s="6"/>
      <c r="O149" s="5"/>
    </row>
    <row r="150" spans="1:16" x14ac:dyDescent="0.55000000000000004">
      <c r="A150" s="6" t="s">
        <v>46</v>
      </c>
      <c r="B150" s="6">
        <v>16.23</v>
      </c>
      <c r="C150" s="5">
        <f t="shared" si="10"/>
        <v>10.75</v>
      </c>
      <c r="D150" s="5">
        <f t="shared" si="11"/>
        <v>21.71</v>
      </c>
      <c r="E150" s="5">
        <v>16.23</v>
      </c>
      <c r="F150">
        <v>24</v>
      </c>
      <c r="G150" s="8">
        <v>23</v>
      </c>
      <c r="H150" s="8">
        <v>20</v>
      </c>
      <c r="I150" t="s">
        <v>89</v>
      </c>
      <c r="J150" t="s">
        <v>76</v>
      </c>
      <c r="K150" t="s">
        <v>77</v>
      </c>
      <c r="L150">
        <v>5.48</v>
      </c>
      <c r="N150" s="6"/>
      <c r="O150" s="5"/>
    </row>
    <row r="151" spans="1:16" x14ac:dyDescent="0.55000000000000004">
      <c r="A151" s="6" t="s">
        <v>43</v>
      </c>
      <c r="B151" s="6">
        <v>17.36</v>
      </c>
      <c r="C151" s="5">
        <f t="shared" si="10"/>
        <v>11.879999999999999</v>
      </c>
      <c r="D151" s="5">
        <f t="shared" si="11"/>
        <v>22.84</v>
      </c>
      <c r="E151" s="5">
        <v>22.84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77</v>
      </c>
      <c r="L151">
        <v>5.48</v>
      </c>
      <c r="N151" s="6"/>
      <c r="O151" s="5"/>
    </row>
    <row r="152" spans="1:16" x14ac:dyDescent="0.55000000000000004">
      <c r="A152" s="6" t="s">
        <v>36</v>
      </c>
      <c r="B152" s="6">
        <v>10.19</v>
      </c>
      <c r="C152" s="5">
        <f>B152-L152</f>
        <v>4.7399999999999993</v>
      </c>
      <c r="D152" s="5">
        <f>B152+L152</f>
        <v>15.64</v>
      </c>
      <c r="E152" s="5">
        <v>10.19</v>
      </c>
      <c r="F152">
        <v>1</v>
      </c>
      <c r="G152" s="8">
        <v>4</v>
      </c>
      <c r="H152" s="8">
        <v>3</v>
      </c>
      <c r="I152" t="s">
        <v>90</v>
      </c>
      <c r="J152" t="s">
        <v>85</v>
      </c>
      <c r="K152" t="s">
        <v>77</v>
      </c>
      <c r="L152">
        <v>5.45</v>
      </c>
      <c r="N152" s="6"/>
      <c r="O152" s="7"/>
      <c r="P152" s="5"/>
    </row>
    <row r="153" spans="1:16" x14ac:dyDescent="0.55000000000000004">
      <c r="A153" s="6" t="s">
        <v>27</v>
      </c>
      <c r="B153" s="6">
        <v>10.6</v>
      </c>
      <c r="C153" s="5">
        <f t="shared" ref="C153:C184" si="12">B153-L153</f>
        <v>5.1499999999999995</v>
      </c>
      <c r="D153" s="5">
        <f t="shared" ref="D153:D184" si="13">B153+L153</f>
        <v>16.05</v>
      </c>
      <c r="E153" s="5">
        <v>10.6</v>
      </c>
      <c r="F153">
        <v>2</v>
      </c>
      <c r="G153" s="8">
        <v>7</v>
      </c>
      <c r="H153" s="8">
        <v>15</v>
      </c>
      <c r="I153" t="s">
        <v>90</v>
      </c>
      <c r="J153" t="s">
        <v>85</v>
      </c>
      <c r="K153" t="s">
        <v>77</v>
      </c>
      <c r="L153">
        <v>5.45</v>
      </c>
      <c r="O153" s="7"/>
      <c r="P153" s="5"/>
    </row>
    <row r="154" spans="1:16" x14ac:dyDescent="0.55000000000000004">
      <c r="A154" s="6" t="s">
        <v>39</v>
      </c>
      <c r="B154" s="6">
        <v>10.78</v>
      </c>
      <c r="C154" s="5">
        <f t="shared" si="12"/>
        <v>5.3299999999999992</v>
      </c>
      <c r="D154" s="5">
        <f t="shared" si="13"/>
        <v>16.23</v>
      </c>
      <c r="E154" s="5">
        <v>10.78</v>
      </c>
      <c r="F154">
        <v>3</v>
      </c>
      <c r="G154" s="8">
        <v>8</v>
      </c>
      <c r="H154" s="8">
        <v>7</v>
      </c>
      <c r="I154" t="s">
        <v>90</v>
      </c>
      <c r="J154" t="s">
        <v>85</v>
      </c>
      <c r="K154" t="s">
        <v>77</v>
      </c>
      <c r="L154">
        <v>5.45</v>
      </c>
      <c r="O154" s="7"/>
      <c r="P154" s="5"/>
    </row>
    <row r="155" spans="1:16" x14ac:dyDescent="0.55000000000000004">
      <c r="A155" s="6" t="s">
        <v>38</v>
      </c>
      <c r="B155" s="6">
        <v>11.13</v>
      </c>
      <c r="C155" s="5">
        <f t="shared" si="12"/>
        <v>5.6800000000000006</v>
      </c>
      <c r="D155" s="5">
        <f t="shared" si="13"/>
        <v>16.580000000000002</v>
      </c>
      <c r="E155" s="5">
        <v>5.68</v>
      </c>
      <c r="F155">
        <v>4</v>
      </c>
      <c r="G155" s="8">
        <v>1</v>
      </c>
      <c r="H155" s="8">
        <v>4</v>
      </c>
      <c r="I155" t="s">
        <v>90</v>
      </c>
      <c r="J155" t="s">
        <v>85</v>
      </c>
      <c r="K155" t="s">
        <v>77</v>
      </c>
      <c r="L155">
        <v>5.45</v>
      </c>
      <c r="N155" s="6"/>
      <c r="O155" s="7"/>
      <c r="P155" s="5"/>
    </row>
    <row r="156" spans="1:16" x14ac:dyDescent="0.55000000000000004">
      <c r="A156" s="6" t="s">
        <v>37</v>
      </c>
      <c r="B156" s="6">
        <v>11.79</v>
      </c>
      <c r="C156" s="5">
        <f t="shared" si="12"/>
        <v>6.339999999999999</v>
      </c>
      <c r="D156" s="5">
        <f t="shared" si="13"/>
        <v>17.239999999999998</v>
      </c>
      <c r="E156" s="5">
        <v>6.34</v>
      </c>
      <c r="F156">
        <v>5</v>
      </c>
      <c r="G156" s="8">
        <v>2</v>
      </c>
      <c r="H156" s="8">
        <v>28</v>
      </c>
      <c r="I156" t="s">
        <v>90</v>
      </c>
      <c r="J156" t="s">
        <v>85</v>
      </c>
      <c r="K156" t="s">
        <v>77</v>
      </c>
      <c r="L156">
        <v>5.45</v>
      </c>
      <c r="O156" s="7"/>
      <c r="P156" s="5"/>
    </row>
    <row r="157" spans="1:16" x14ac:dyDescent="0.55000000000000004">
      <c r="A157" s="6" t="s">
        <v>35</v>
      </c>
      <c r="B157" s="6">
        <v>12.54</v>
      </c>
      <c r="C157" s="5">
        <f t="shared" si="12"/>
        <v>7.089999999999999</v>
      </c>
      <c r="D157" s="5">
        <f t="shared" si="13"/>
        <v>17.989999999999998</v>
      </c>
      <c r="E157" s="5">
        <v>7.09</v>
      </c>
      <c r="F157">
        <v>6</v>
      </c>
      <c r="G157" s="8">
        <v>3</v>
      </c>
      <c r="H157" s="8">
        <v>2</v>
      </c>
      <c r="I157" t="s">
        <v>90</v>
      </c>
      <c r="J157" t="s">
        <v>85</v>
      </c>
      <c r="K157" t="s">
        <v>77</v>
      </c>
      <c r="L157">
        <v>5.45</v>
      </c>
      <c r="O157" s="7"/>
      <c r="P157" s="5"/>
    </row>
    <row r="158" spans="1:16" x14ac:dyDescent="0.55000000000000004">
      <c r="A158" s="6" t="s">
        <v>33</v>
      </c>
      <c r="B158" s="6">
        <v>12.83</v>
      </c>
      <c r="C158" s="5">
        <f t="shared" si="12"/>
        <v>7.38</v>
      </c>
      <c r="D158" s="5">
        <f t="shared" si="13"/>
        <v>18.28</v>
      </c>
      <c r="E158" s="5">
        <v>12.83</v>
      </c>
      <c r="F158">
        <v>7</v>
      </c>
      <c r="G158" s="8">
        <v>12</v>
      </c>
      <c r="H158" s="8">
        <v>16</v>
      </c>
      <c r="I158" t="s">
        <v>90</v>
      </c>
      <c r="J158" t="s">
        <v>85</v>
      </c>
      <c r="K158" t="s">
        <v>77</v>
      </c>
      <c r="L158">
        <v>5.45</v>
      </c>
      <c r="N158" s="6"/>
      <c r="O158" s="7"/>
      <c r="P158" s="5"/>
    </row>
    <row r="159" spans="1:16" x14ac:dyDescent="0.55000000000000004">
      <c r="A159" s="6" t="s">
        <v>45</v>
      </c>
      <c r="B159" s="6">
        <v>13.74</v>
      </c>
      <c r="C159" s="5">
        <f t="shared" si="12"/>
        <v>8.2899999999999991</v>
      </c>
      <c r="D159" s="5">
        <f t="shared" si="13"/>
        <v>19.190000000000001</v>
      </c>
      <c r="E159" s="5">
        <v>13.74</v>
      </c>
      <c r="F159">
        <v>8</v>
      </c>
      <c r="G159" s="8">
        <v>13</v>
      </c>
      <c r="H159" s="8">
        <v>30</v>
      </c>
      <c r="I159" t="s">
        <v>90</v>
      </c>
      <c r="J159" t="s">
        <v>85</v>
      </c>
      <c r="K159" t="s">
        <v>77</v>
      </c>
      <c r="L159">
        <v>5.45</v>
      </c>
      <c r="O159" s="7"/>
      <c r="P159" s="5"/>
    </row>
    <row r="160" spans="1:16" x14ac:dyDescent="0.55000000000000004">
      <c r="A160" s="6" t="s">
        <v>34</v>
      </c>
      <c r="B160" s="6">
        <v>14.48</v>
      </c>
      <c r="C160" s="5">
        <f t="shared" si="12"/>
        <v>9.0300000000000011</v>
      </c>
      <c r="D160" s="5">
        <f t="shared" si="13"/>
        <v>19.93</v>
      </c>
      <c r="E160" s="5">
        <v>19.93</v>
      </c>
      <c r="F160">
        <v>9</v>
      </c>
      <c r="G160" s="8">
        <v>23</v>
      </c>
      <c r="H160" s="8">
        <v>17</v>
      </c>
      <c r="I160" t="s">
        <v>90</v>
      </c>
      <c r="J160" t="s">
        <v>85</v>
      </c>
      <c r="K160" t="s">
        <v>77</v>
      </c>
      <c r="L160">
        <v>5.45</v>
      </c>
      <c r="O160" s="7"/>
      <c r="P160" s="5"/>
    </row>
    <row r="161" spans="1:16" x14ac:dyDescent="0.55000000000000004">
      <c r="A161" s="6" t="s">
        <v>44</v>
      </c>
      <c r="B161" s="6">
        <v>15.16</v>
      </c>
      <c r="C161" s="5">
        <f t="shared" si="12"/>
        <v>9.7100000000000009</v>
      </c>
      <c r="D161" s="5">
        <f t="shared" si="13"/>
        <v>20.61</v>
      </c>
      <c r="E161" s="5">
        <v>15.16</v>
      </c>
      <c r="F161">
        <v>10</v>
      </c>
      <c r="G161" s="8">
        <v>14</v>
      </c>
      <c r="H161" s="8">
        <v>1</v>
      </c>
      <c r="I161" t="s">
        <v>90</v>
      </c>
      <c r="J161" t="s">
        <v>85</v>
      </c>
      <c r="K161" t="s">
        <v>77</v>
      </c>
      <c r="L161">
        <v>5.45</v>
      </c>
      <c r="N161" s="6"/>
      <c r="O161" s="7"/>
      <c r="P161" s="5"/>
    </row>
    <row r="162" spans="1:16" x14ac:dyDescent="0.55000000000000004">
      <c r="A162" s="6" t="s">
        <v>40</v>
      </c>
      <c r="B162" s="6">
        <v>15.42</v>
      </c>
      <c r="C162" s="5">
        <f t="shared" si="12"/>
        <v>9.9699999999999989</v>
      </c>
      <c r="D162" s="5">
        <f t="shared" si="13"/>
        <v>20.87</v>
      </c>
      <c r="E162" s="5">
        <v>15.42</v>
      </c>
      <c r="F162">
        <v>11</v>
      </c>
      <c r="G162" s="8">
        <v>15</v>
      </c>
      <c r="H162" s="8">
        <v>29</v>
      </c>
      <c r="I162" t="s">
        <v>90</v>
      </c>
      <c r="J162" t="s">
        <v>85</v>
      </c>
      <c r="K162" t="s">
        <v>77</v>
      </c>
      <c r="L162">
        <v>5.45</v>
      </c>
      <c r="O162" s="7"/>
      <c r="P162" s="5"/>
    </row>
    <row r="163" spans="1:16" x14ac:dyDescent="0.55000000000000004">
      <c r="A163" s="6" t="s">
        <v>42</v>
      </c>
      <c r="B163" s="6">
        <v>15.69</v>
      </c>
      <c r="C163" s="5">
        <f t="shared" si="12"/>
        <v>10.239999999999998</v>
      </c>
      <c r="D163" s="5">
        <f t="shared" si="13"/>
        <v>21.14</v>
      </c>
      <c r="E163" s="5">
        <v>10.24</v>
      </c>
      <c r="F163">
        <v>12</v>
      </c>
      <c r="G163" s="8">
        <v>5</v>
      </c>
      <c r="H163" s="8">
        <v>27</v>
      </c>
      <c r="I163" t="s">
        <v>90</v>
      </c>
      <c r="J163" t="s">
        <v>85</v>
      </c>
      <c r="K163" t="s">
        <v>77</v>
      </c>
      <c r="L163">
        <v>5.45</v>
      </c>
      <c r="O163" s="7"/>
      <c r="P163" s="5"/>
    </row>
    <row r="164" spans="1:16" x14ac:dyDescent="0.55000000000000004">
      <c r="A164" s="6" t="s">
        <v>25</v>
      </c>
      <c r="B164" s="6">
        <v>15.78</v>
      </c>
      <c r="C164" s="5">
        <f t="shared" si="12"/>
        <v>10.329999999999998</v>
      </c>
      <c r="D164" s="5">
        <f t="shared" si="13"/>
        <v>21.23</v>
      </c>
      <c r="E164" s="5">
        <v>15.78</v>
      </c>
      <c r="F164">
        <v>13</v>
      </c>
      <c r="G164" s="8">
        <v>16</v>
      </c>
      <c r="H164" s="8">
        <v>5</v>
      </c>
      <c r="I164" t="s">
        <v>90</v>
      </c>
      <c r="J164" t="s">
        <v>85</v>
      </c>
      <c r="K164" t="s">
        <v>77</v>
      </c>
      <c r="L164">
        <v>5.45</v>
      </c>
      <c r="N164" s="6"/>
      <c r="O164" s="7"/>
      <c r="P164" s="5"/>
    </row>
    <row r="165" spans="1:16" x14ac:dyDescent="0.55000000000000004">
      <c r="A165" s="6" t="s">
        <v>29</v>
      </c>
      <c r="B165" s="6">
        <v>15.85</v>
      </c>
      <c r="C165" s="5">
        <f t="shared" si="12"/>
        <v>10.399999999999999</v>
      </c>
      <c r="D165" s="5">
        <f t="shared" si="13"/>
        <v>21.3</v>
      </c>
      <c r="E165" s="5">
        <v>10.4</v>
      </c>
      <c r="F165">
        <v>14</v>
      </c>
      <c r="G165" s="8">
        <v>6</v>
      </c>
      <c r="H165" s="8">
        <v>8</v>
      </c>
      <c r="I165" t="s">
        <v>90</v>
      </c>
      <c r="J165" t="s">
        <v>85</v>
      </c>
      <c r="K165" t="s">
        <v>77</v>
      </c>
      <c r="L165">
        <v>5.45</v>
      </c>
      <c r="O165" s="7"/>
      <c r="P165" s="5"/>
    </row>
    <row r="166" spans="1:16" x14ac:dyDescent="0.55000000000000004">
      <c r="A166" s="6" t="s">
        <v>91</v>
      </c>
      <c r="B166" s="6">
        <v>16.27</v>
      </c>
      <c r="C166" s="5">
        <f t="shared" si="12"/>
        <v>10.82</v>
      </c>
      <c r="D166" s="5">
        <f t="shared" si="13"/>
        <v>21.72</v>
      </c>
      <c r="E166" s="5">
        <v>10.82</v>
      </c>
      <c r="F166">
        <v>15</v>
      </c>
      <c r="G166" s="8">
        <v>9</v>
      </c>
      <c r="H166" s="8">
        <v>12</v>
      </c>
      <c r="I166" t="s">
        <v>90</v>
      </c>
      <c r="J166" t="s">
        <v>85</v>
      </c>
      <c r="K166" t="s">
        <v>77</v>
      </c>
      <c r="L166">
        <v>5.45</v>
      </c>
      <c r="O166" s="7"/>
      <c r="P166" s="5"/>
    </row>
    <row r="167" spans="1:16" x14ac:dyDescent="0.55000000000000004">
      <c r="A167" s="6" t="s">
        <v>92</v>
      </c>
      <c r="B167" s="6">
        <v>16.760000000000002</v>
      </c>
      <c r="C167" s="5">
        <f t="shared" si="12"/>
        <v>11.310000000000002</v>
      </c>
      <c r="D167" s="5">
        <f t="shared" si="13"/>
        <v>22.21</v>
      </c>
      <c r="E167" s="5">
        <v>16.760000000000002</v>
      </c>
      <c r="F167">
        <v>16</v>
      </c>
      <c r="G167" s="8">
        <v>18</v>
      </c>
      <c r="H167" s="8">
        <v>25</v>
      </c>
      <c r="I167" t="s">
        <v>90</v>
      </c>
      <c r="J167" t="s">
        <v>85</v>
      </c>
      <c r="K167" t="s">
        <v>77</v>
      </c>
      <c r="L167">
        <v>5.45</v>
      </c>
      <c r="N167" s="6"/>
      <c r="O167" s="7"/>
      <c r="P167" s="5"/>
    </row>
    <row r="168" spans="1:16" x14ac:dyDescent="0.55000000000000004">
      <c r="A168" s="6" t="s">
        <v>28</v>
      </c>
      <c r="B168" s="6">
        <v>17.23</v>
      </c>
      <c r="C168" s="5">
        <f t="shared" si="12"/>
        <v>11.780000000000001</v>
      </c>
      <c r="D168" s="5">
        <f t="shared" si="13"/>
        <v>22.68</v>
      </c>
      <c r="E168" s="5">
        <v>17.23</v>
      </c>
      <c r="F168">
        <v>17</v>
      </c>
      <c r="G168" s="8">
        <v>19</v>
      </c>
      <c r="H168" s="8">
        <v>13</v>
      </c>
      <c r="I168" t="s">
        <v>90</v>
      </c>
      <c r="J168" t="s">
        <v>85</v>
      </c>
      <c r="K168" t="s">
        <v>77</v>
      </c>
      <c r="L168">
        <v>5.45</v>
      </c>
      <c r="O168" s="7"/>
      <c r="P168" s="5"/>
    </row>
    <row r="169" spans="1:16" x14ac:dyDescent="0.55000000000000004">
      <c r="A169" s="6" t="s">
        <v>41</v>
      </c>
      <c r="B169" s="6">
        <v>17.670000000000002</v>
      </c>
      <c r="C169" s="5">
        <f t="shared" si="12"/>
        <v>12.220000000000002</v>
      </c>
      <c r="D169" s="5">
        <f t="shared" si="13"/>
        <v>23.12</v>
      </c>
      <c r="E169" s="5">
        <v>17.670000000000002</v>
      </c>
      <c r="F169">
        <v>18</v>
      </c>
      <c r="G169" s="8">
        <v>20</v>
      </c>
      <c r="H169" s="8">
        <v>20</v>
      </c>
      <c r="I169" t="s">
        <v>90</v>
      </c>
      <c r="J169" t="s">
        <v>85</v>
      </c>
      <c r="K169" t="s">
        <v>77</v>
      </c>
      <c r="L169">
        <v>5.45</v>
      </c>
      <c r="O169" s="7"/>
      <c r="P169" s="5"/>
    </row>
    <row r="170" spans="1:16" x14ac:dyDescent="0.55000000000000004">
      <c r="A170" s="6" t="s">
        <v>49</v>
      </c>
      <c r="B170" s="6">
        <v>17.7</v>
      </c>
      <c r="C170" s="5">
        <f t="shared" si="12"/>
        <v>12.25</v>
      </c>
      <c r="D170" s="5">
        <f t="shared" si="13"/>
        <v>23.15</v>
      </c>
      <c r="E170" s="5">
        <v>17.7</v>
      </c>
      <c r="F170">
        <v>19</v>
      </c>
      <c r="G170" s="8">
        <v>21</v>
      </c>
      <c r="H170" s="8">
        <v>6</v>
      </c>
      <c r="I170" t="s">
        <v>90</v>
      </c>
      <c r="J170" t="s">
        <v>85</v>
      </c>
      <c r="K170" t="s">
        <v>77</v>
      </c>
      <c r="L170">
        <v>5.45</v>
      </c>
      <c r="N170" s="6"/>
      <c r="O170" s="7"/>
      <c r="P170" s="5"/>
    </row>
    <row r="171" spans="1:16" x14ac:dyDescent="0.55000000000000004">
      <c r="A171" s="6" t="s">
        <v>93</v>
      </c>
      <c r="B171" s="6">
        <v>17.899999999999999</v>
      </c>
      <c r="C171" s="5">
        <f t="shared" si="12"/>
        <v>12.45</v>
      </c>
      <c r="D171" s="5">
        <f t="shared" si="13"/>
        <v>23.349999999999998</v>
      </c>
      <c r="E171" s="5">
        <v>12.45</v>
      </c>
      <c r="F171">
        <v>20</v>
      </c>
      <c r="G171" s="8">
        <v>10</v>
      </c>
      <c r="H171" s="8">
        <v>32</v>
      </c>
      <c r="I171" t="s">
        <v>90</v>
      </c>
      <c r="J171" t="s">
        <v>85</v>
      </c>
      <c r="K171" t="s">
        <v>77</v>
      </c>
      <c r="L171">
        <v>5.45</v>
      </c>
      <c r="O171" s="7"/>
      <c r="P171" s="5"/>
    </row>
    <row r="172" spans="1:16" x14ac:dyDescent="0.55000000000000004">
      <c r="A172" s="6" t="s">
        <v>94</v>
      </c>
      <c r="B172" s="6">
        <v>18.149999999999999</v>
      </c>
      <c r="C172" s="5">
        <f t="shared" si="12"/>
        <v>12.7</v>
      </c>
      <c r="D172" s="5">
        <f t="shared" si="13"/>
        <v>23.599999999999998</v>
      </c>
      <c r="E172" s="5">
        <v>12.7</v>
      </c>
      <c r="F172">
        <v>21</v>
      </c>
      <c r="G172" s="8">
        <v>11</v>
      </c>
      <c r="H172" s="8">
        <v>10</v>
      </c>
      <c r="I172" t="s">
        <v>90</v>
      </c>
      <c r="J172" t="s">
        <v>85</v>
      </c>
      <c r="K172" t="s">
        <v>77</v>
      </c>
      <c r="L172">
        <v>5.45</v>
      </c>
      <c r="O172" s="7"/>
      <c r="P172" s="5"/>
    </row>
    <row r="173" spans="1:16" x14ac:dyDescent="0.55000000000000004">
      <c r="A173" s="6" t="s">
        <v>48</v>
      </c>
      <c r="B173" s="6">
        <v>18.39</v>
      </c>
      <c r="C173" s="5">
        <f t="shared" si="12"/>
        <v>12.940000000000001</v>
      </c>
      <c r="D173" s="5">
        <f t="shared" si="13"/>
        <v>23.84</v>
      </c>
      <c r="E173" s="5">
        <v>23.84</v>
      </c>
      <c r="F173">
        <v>22</v>
      </c>
      <c r="G173" s="8">
        <v>25</v>
      </c>
      <c r="H173" s="8">
        <v>14</v>
      </c>
      <c r="I173" t="s">
        <v>90</v>
      </c>
      <c r="J173" t="s">
        <v>85</v>
      </c>
      <c r="K173" t="s">
        <v>77</v>
      </c>
      <c r="L173">
        <v>5.45</v>
      </c>
      <c r="N173" s="6"/>
      <c r="O173" s="7"/>
      <c r="P173" s="5"/>
    </row>
    <row r="174" spans="1:16" x14ac:dyDescent="0.55000000000000004">
      <c r="A174" s="6" t="s">
        <v>95</v>
      </c>
      <c r="B174" s="6">
        <v>19.399999999999999</v>
      </c>
      <c r="C174" s="5">
        <f t="shared" si="12"/>
        <v>13.95</v>
      </c>
      <c r="D174" s="5">
        <f t="shared" si="13"/>
        <v>24.849999999999998</v>
      </c>
      <c r="E174" s="5">
        <v>24.85</v>
      </c>
      <c r="F174">
        <v>23</v>
      </c>
      <c r="G174" s="8">
        <v>26</v>
      </c>
      <c r="H174" s="8">
        <v>24</v>
      </c>
      <c r="I174" t="s">
        <v>90</v>
      </c>
      <c r="J174" t="s">
        <v>85</v>
      </c>
      <c r="K174" t="s">
        <v>77</v>
      </c>
      <c r="L174">
        <v>5.45</v>
      </c>
      <c r="O174" s="7"/>
      <c r="P174" s="5"/>
    </row>
    <row r="175" spans="1:16" x14ac:dyDescent="0.55000000000000004">
      <c r="A175" s="6" t="s">
        <v>96</v>
      </c>
      <c r="B175" s="6">
        <v>19.57</v>
      </c>
      <c r="C175" s="5">
        <f t="shared" si="12"/>
        <v>14.120000000000001</v>
      </c>
      <c r="D175" s="5">
        <f t="shared" si="13"/>
        <v>25.02</v>
      </c>
      <c r="E175" s="5">
        <v>25.02</v>
      </c>
      <c r="F175">
        <v>24</v>
      </c>
      <c r="G175" s="8">
        <v>27</v>
      </c>
      <c r="H175" s="8">
        <v>31</v>
      </c>
      <c r="I175" t="s">
        <v>90</v>
      </c>
      <c r="J175" t="s">
        <v>85</v>
      </c>
      <c r="K175" t="s">
        <v>77</v>
      </c>
      <c r="L175">
        <v>5.45</v>
      </c>
      <c r="O175" s="7"/>
      <c r="P175" s="5"/>
    </row>
    <row r="176" spans="1:16" x14ac:dyDescent="0.55000000000000004">
      <c r="A176" s="6" t="s">
        <v>47</v>
      </c>
      <c r="B176" s="6">
        <v>19.739999999999998</v>
      </c>
      <c r="C176" s="5">
        <f t="shared" si="12"/>
        <v>14.29</v>
      </c>
      <c r="D176" s="5">
        <f t="shared" si="13"/>
        <v>25.189999999999998</v>
      </c>
      <c r="E176" s="5">
        <v>19.739999999999998</v>
      </c>
      <c r="F176">
        <v>25</v>
      </c>
      <c r="G176" s="8">
        <v>22</v>
      </c>
      <c r="H176" s="8">
        <v>11</v>
      </c>
      <c r="I176" t="s">
        <v>90</v>
      </c>
      <c r="J176" t="s">
        <v>85</v>
      </c>
      <c r="K176" t="s">
        <v>77</v>
      </c>
      <c r="L176">
        <v>5.45</v>
      </c>
      <c r="N176" s="6"/>
      <c r="O176" s="7"/>
      <c r="P176" s="5"/>
    </row>
    <row r="177" spans="1:16" x14ac:dyDescent="0.55000000000000004">
      <c r="A177" s="6" t="s">
        <v>97</v>
      </c>
      <c r="B177" s="6">
        <v>20.86</v>
      </c>
      <c r="C177" s="5">
        <f t="shared" si="12"/>
        <v>15.41</v>
      </c>
      <c r="D177" s="5">
        <f t="shared" si="13"/>
        <v>26.31</v>
      </c>
      <c r="E177" s="5">
        <v>26.31</v>
      </c>
      <c r="F177">
        <v>26</v>
      </c>
      <c r="G177" s="8">
        <v>28</v>
      </c>
      <c r="H177" s="8">
        <v>22</v>
      </c>
      <c r="I177" t="s">
        <v>90</v>
      </c>
      <c r="J177" t="s">
        <v>85</v>
      </c>
      <c r="K177" t="s">
        <v>77</v>
      </c>
      <c r="L177">
        <v>5.45</v>
      </c>
      <c r="O177" s="7"/>
      <c r="P177" s="5"/>
    </row>
    <row r="178" spans="1:16" x14ac:dyDescent="0.55000000000000004">
      <c r="A178" s="6" t="s">
        <v>26</v>
      </c>
      <c r="B178" s="6">
        <v>21.69</v>
      </c>
      <c r="C178" s="5">
        <f t="shared" si="12"/>
        <v>16.240000000000002</v>
      </c>
      <c r="D178" s="5">
        <f t="shared" si="13"/>
        <v>27.14</v>
      </c>
      <c r="E178" s="5">
        <v>27.14</v>
      </c>
      <c r="F178">
        <v>27</v>
      </c>
      <c r="G178" s="8">
        <v>29</v>
      </c>
      <c r="H178" s="8">
        <v>26</v>
      </c>
      <c r="I178" t="s">
        <v>90</v>
      </c>
      <c r="J178" t="s">
        <v>85</v>
      </c>
      <c r="K178" t="s">
        <v>77</v>
      </c>
      <c r="L178">
        <v>5.45</v>
      </c>
      <c r="O178" s="7"/>
      <c r="P178" s="5"/>
    </row>
    <row r="179" spans="1:16" x14ac:dyDescent="0.55000000000000004">
      <c r="A179" s="6" t="s">
        <v>32</v>
      </c>
      <c r="B179" s="6">
        <v>21.9</v>
      </c>
      <c r="C179" s="5">
        <f t="shared" si="12"/>
        <v>16.45</v>
      </c>
      <c r="D179" s="5">
        <f t="shared" si="13"/>
        <v>27.349999999999998</v>
      </c>
      <c r="E179" s="5">
        <v>27.35</v>
      </c>
      <c r="F179">
        <v>28</v>
      </c>
      <c r="G179" s="8">
        <v>30</v>
      </c>
      <c r="H179" s="8">
        <v>19</v>
      </c>
      <c r="I179" t="s">
        <v>90</v>
      </c>
      <c r="J179" t="s">
        <v>85</v>
      </c>
      <c r="K179" t="s">
        <v>77</v>
      </c>
      <c r="L179">
        <v>5.45</v>
      </c>
      <c r="N179" s="6"/>
      <c r="O179" s="7"/>
      <c r="P179" s="5"/>
    </row>
    <row r="180" spans="1:16" x14ac:dyDescent="0.55000000000000004">
      <c r="A180" s="6" t="s">
        <v>98</v>
      </c>
      <c r="B180" s="6">
        <v>21.96</v>
      </c>
      <c r="C180" s="5">
        <f t="shared" si="12"/>
        <v>16.510000000000002</v>
      </c>
      <c r="D180" s="5">
        <f t="shared" si="13"/>
        <v>27.41</v>
      </c>
      <c r="E180" s="5">
        <v>27.41</v>
      </c>
      <c r="F180">
        <v>29</v>
      </c>
      <c r="G180" s="8">
        <v>31</v>
      </c>
      <c r="H180" s="8">
        <v>33</v>
      </c>
      <c r="I180" t="s">
        <v>90</v>
      </c>
      <c r="J180" t="s">
        <v>85</v>
      </c>
      <c r="K180" t="s">
        <v>77</v>
      </c>
      <c r="L180">
        <v>5.45</v>
      </c>
      <c r="O180" s="7"/>
      <c r="P180" s="5"/>
    </row>
    <row r="181" spans="1:16" x14ac:dyDescent="0.55000000000000004">
      <c r="A181" s="6" t="s">
        <v>31</v>
      </c>
      <c r="B181" s="6">
        <v>22.02</v>
      </c>
      <c r="C181" s="5">
        <f t="shared" si="12"/>
        <v>16.57</v>
      </c>
      <c r="D181" s="5">
        <f t="shared" si="13"/>
        <v>27.47</v>
      </c>
      <c r="E181" s="5">
        <v>16.57</v>
      </c>
      <c r="F181">
        <v>30</v>
      </c>
      <c r="G181" s="8">
        <v>17</v>
      </c>
      <c r="H181" s="8">
        <v>9</v>
      </c>
      <c r="I181" t="s">
        <v>90</v>
      </c>
      <c r="J181" t="s">
        <v>85</v>
      </c>
      <c r="K181" t="s">
        <v>77</v>
      </c>
      <c r="L181">
        <v>5.45</v>
      </c>
      <c r="O181" s="7"/>
      <c r="P181" s="5"/>
    </row>
    <row r="182" spans="1:16" x14ac:dyDescent="0.55000000000000004">
      <c r="A182" s="6" t="s">
        <v>30</v>
      </c>
      <c r="B182" s="6">
        <v>22.27</v>
      </c>
      <c r="C182" s="5">
        <f t="shared" si="12"/>
        <v>16.82</v>
      </c>
      <c r="D182" s="5">
        <f t="shared" si="13"/>
        <v>27.72</v>
      </c>
      <c r="E182" s="5">
        <v>22.27</v>
      </c>
      <c r="F182">
        <v>31</v>
      </c>
      <c r="G182" s="8">
        <v>24</v>
      </c>
      <c r="H182" s="8">
        <v>21</v>
      </c>
      <c r="I182" t="s">
        <v>90</v>
      </c>
      <c r="J182" t="s">
        <v>85</v>
      </c>
      <c r="K182" t="s">
        <v>77</v>
      </c>
      <c r="L182">
        <v>5.45</v>
      </c>
      <c r="N182" s="6"/>
      <c r="O182" s="7"/>
      <c r="P182" s="5"/>
    </row>
    <row r="183" spans="1:16" x14ac:dyDescent="0.55000000000000004">
      <c r="A183" s="6" t="s">
        <v>46</v>
      </c>
      <c r="B183" s="6">
        <v>22.72</v>
      </c>
      <c r="C183" s="5">
        <f t="shared" si="12"/>
        <v>17.27</v>
      </c>
      <c r="D183" s="5">
        <f t="shared" si="13"/>
        <v>28.169999999999998</v>
      </c>
      <c r="E183" s="5">
        <v>28.17</v>
      </c>
      <c r="F183">
        <v>32</v>
      </c>
      <c r="G183" s="8">
        <v>32</v>
      </c>
      <c r="H183" s="8">
        <v>18</v>
      </c>
      <c r="I183" t="s">
        <v>90</v>
      </c>
      <c r="J183" t="s">
        <v>85</v>
      </c>
      <c r="K183" t="s">
        <v>77</v>
      </c>
      <c r="L183">
        <v>5.45</v>
      </c>
      <c r="O183" s="7"/>
      <c r="P183" s="5"/>
    </row>
    <row r="184" spans="1:16" x14ac:dyDescent="0.55000000000000004">
      <c r="A184" s="6" t="s">
        <v>43</v>
      </c>
      <c r="B184" s="6">
        <v>22.92</v>
      </c>
      <c r="C184" s="5">
        <f t="shared" si="12"/>
        <v>17.470000000000002</v>
      </c>
      <c r="D184" s="5">
        <f t="shared" si="13"/>
        <v>28.37</v>
      </c>
      <c r="E184" s="5">
        <v>28.37</v>
      </c>
      <c r="F184">
        <v>33</v>
      </c>
      <c r="G184" s="8">
        <v>33</v>
      </c>
      <c r="H184" s="8">
        <v>23</v>
      </c>
      <c r="I184" t="s">
        <v>90</v>
      </c>
      <c r="J184" t="s">
        <v>85</v>
      </c>
      <c r="K184" t="s">
        <v>77</v>
      </c>
      <c r="L184">
        <v>5.45</v>
      </c>
      <c r="N184" s="6"/>
      <c r="P184" s="5"/>
    </row>
    <row r="185" spans="1:16" x14ac:dyDescent="0.55000000000000004">
      <c r="A185" s="6" t="s">
        <v>39</v>
      </c>
      <c r="B185" s="6">
        <v>7.46</v>
      </c>
      <c r="C185" s="5">
        <f>B185-L185</f>
        <v>2.0300000000000002</v>
      </c>
      <c r="D185" s="5">
        <f>B185+L185</f>
        <v>12.89</v>
      </c>
      <c r="E185">
        <v>2.0299999999999998</v>
      </c>
      <c r="F185">
        <v>1</v>
      </c>
      <c r="G185" s="8">
        <v>1</v>
      </c>
      <c r="H185" s="8">
        <v>1</v>
      </c>
      <c r="I185" t="s">
        <v>107</v>
      </c>
      <c r="J185" t="s">
        <v>82</v>
      </c>
      <c r="K185" t="s">
        <v>77</v>
      </c>
      <c r="L185">
        <v>5.43</v>
      </c>
      <c r="N185" s="6"/>
      <c r="O185" s="5"/>
    </row>
    <row r="186" spans="1:16" x14ac:dyDescent="0.55000000000000004">
      <c r="A186" s="6" t="s">
        <v>27</v>
      </c>
      <c r="B186" s="6">
        <v>7.65</v>
      </c>
      <c r="C186" s="5">
        <f t="shared" ref="C186:C209" si="14">B186-L186</f>
        <v>2.2200000000000006</v>
      </c>
      <c r="D186" s="5">
        <f t="shared" ref="D186:D209" si="15">B186+L186</f>
        <v>13.08</v>
      </c>
      <c r="E186" s="5">
        <v>7.65</v>
      </c>
      <c r="F186">
        <v>2</v>
      </c>
      <c r="G186" s="8">
        <v>7</v>
      </c>
      <c r="H186" s="8">
        <v>24</v>
      </c>
      <c r="I186" t="s">
        <v>107</v>
      </c>
      <c r="J186" t="s">
        <v>82</v>
      </c>
      <c r="K186" t="s">
        <v>77</v>
      </c>
      <c r="L186">
        <v>5.43</v>
      </c>
      <c r="N186" s="6"/>
      <c r="O186" s="5"/>
    </row>
    <row r="187" spans="1:16" x14ac:dyDescent="0.55000000000000004">
      <c r="A187" s="6" t="s">
        <v>33</v>
      </c>
      <c r="B187" s="6">
        <v>7.91</v>
      </c>
      <c r="C187" s="5">
        <f t="shared" si="14"/>
        <v>2.4800000000000004</v>
      </c>
      <c r="D187" s="5">
        <f t="shared" si="15"/>
        <v>13.34</v>
      </c>
      <c r="E187" s="5">
        <v>2.48</v>
      </c>
      <c r="F187">
        <v>3</v>
      </c>
      <c r="G187" s="8">
        <v>2</v>
      </c>
      <c r="H187" s="8">
        <v>2</v>
      </c>
      <c r="I187" t="s">
        <v>107</v>
      </c>
      <c r="J187" t="s">
        <v>82</v>
      </c>
      <c r="K187" t="s">
        <v>77</v>
      </c>
      <c r="L187">
        <v>5.43</v>
      </c>
      <c r="N187" s="6"/>
      <c r="O187" s="5"/>
    </row>
    <row r="188" spans="1:16" x14ac:dyDescent="0.55000000000000004">
      <c r="A188" s="6" t="s">
        <v>34</v>
      </c>
      <c r="B188" s="6">
        <v>9.44</v>
      </c>
      <c r="C188" s="5">
        <f t="shared" si="14"/>
        <v>4.01</v>
      </c>
      <c r="D188" s="5">
        <f t="shared" si="15"/>
        <v>14.87</v>
      </c>
      <c r="E188" s="5">
        <v>9.44</v>
      </c>
      <c r="F188">
        <v>4</v>
      </c>
      <c r="G188" s="8">
        <v>8</v>
      </c>
      <c r="H188" s="8">
        <v>5</v>
      </c>
      <c r="I188" t="s">
        <v>107</v>
      </c>
      <c r="J188" t="s">
        <v>82</v>
      </c>
      <c r="K188" t="s">
        <v>77</v>
      </c>
      <c r="L188">
        <v>5.43</v>
      </c>
      <c r="N188" s="6"/>
      <c r="O188" s="5"/>
    </row>
    <row r="189" spans="1:16" x14ac:dyDescent="0.55000000000000004">
      <c r="A189" s="6" t="s">
        <v>38</v>
      </c>
      <c r="B189" s="6">
        <v>9.75</v>
      </c>
      <c r="C189" s="5">
        <f t="shared" si="14"/>
        <v>4.32</v>
      </c>
      <c r="D189" s="5">
        <f t="shared" si="15"/>
        <v>15.18</v>
      </c>
      <c r="E189" s="5">
        <v>4.32</v>
      </c>
      <c r="F189">
        <v>5</v>
      </c>
      <c r="G189" s="8">
        <v>3</v>
      </c>
      <c r="H189" s="8">
        <v>4</v>
      </c>
      <c r="I189" t="s">
        <v>107</v>
      </c>
      <c r="J189" t="s">
        <v>82</v>
      </c>
      <c r="K189" t="s">
        <v>77</v>
      </c>
      <c r="L189">
        <v>5.43</v>
      </c>
      <c r="N189" s="6"/>
      <c r="O189" s="5"/>
    </row>
    <row r="190" spans="1:16" x14ac:dyDescent="0.55000000000000004">
      <c r="A190" s="6" t="s">
        <v>36</v>
      </c>
      <c r="B190" s="6">
        <v>10.050000000000001</v>
      </c>
      <c r="C190" s="5">
        <f t="shared" si="14"/>
        <v>4.620000000000001</v>
      </c>
      <c r="D190" s="5">
        <f t="shared" si="15"/>
        <v>15.48</v>
      </c>
      <c r="E190" s="5">
        <v>4.62</v>
      </c>
      <c r="F190">
        <v>6</v>
      </c>
      <c r="G190" s="8">
        <v>4</v>
      </c>
      <c r="H190" s="8">
        <v>19</v>
      </c>
      <c r="I190" t="s">
        <v>107</v>
      </c>
      <c r="J190" t="s">
        <v>82</v>
      </c>
      <c r="K190" t="s">
        <v>77</v>
      </c>
      <c r="L190">
        <v>5.43</v>
      </c>
      <c r="N190" s="6"/>
      <c r="O190" s="5"/>
    </row>
    <row r="191" spans="1:16" x14ac:dyDescent="0.55000000000000004">
      <c r="A191" s="6" t="s">
        <v>37</v>
      </c>
      <c r="B191" s="6">
        <v>10.23</v>
      </c>
      <c r="C191" s="5">
        <f t="shared" si="14"/>
        <v>4.8000000000000007</v>
      </c>
      <c r="D191" s="5">
        <f t="shared" si="15"/>
        <v>15.66</v>
      </c>
      <c r="E191" s="5">
        <v>10.23</v>
      </c>
      <c r="F191">
        <v>7</v>
      </c>
      <c r="G191" s="8">
        <v>9</v>
      </c>
      <c r="H191" s="8">
        <v>10</v>
      </c>
      <c r="I191" t="s">
        <v>107</v>
      </c>
      <c r="J191" t="s">
        <v>82</v>
      </c>
      <c r="K191" t="s">
        <v>77</v>
      </c>
      <c r="L191">
        <v>5.43</v>
      </c>
      <c r="N191" s="6"/>
      <c r="O191" s="5"/>
    </row>
    <row r="192" spans="1:16" x14ac:dyDescent="0.55000000000000004">
      <c r="A192" s="6" t="s">
        <v>35</v>
      </c>
      <c r="B192" s="6">
        <v>10.62</v>
      </c>
      <c r="C192" s="5">
        <f t="shared" si="14"/>
        <v>5.1899999999999995</v>
      </c>
      <c r="D192" s="5">
        <f t="shared" si="15"/>
        <v>16.049999999999997</v>
      </c>
      <c r="E192" s="5">
        <v>5.19</v>
      </c>
      <c r="F192">
        <v>8</v>
      </c>
      <c r="G192" s="8">
        <v>5</v>
      </c>
      <c r="H192" s="8">
        <v>18</v>
      </c>
      <c r="I192" t="s">
        <v>107</v>
      </c>
      <c r="J192" t="s">
        <v>82</v>
      </c>
      <c r="K192" t="s">
        <v>77</v>
      </c>
      <c r="L192">
        <v>5.43</v>
      </c>
      <c r="N192" s="6"/>
      <c r="O192" s="5"/>
    </row>
    <row r="193" spans="1:15" x14ac:dyDescent="0.55000000000000004">
      <c r="A193" s="6" t="s">
        <v>40</v>
      </c>
      <c r="B193" s="6">
        <v>10.84</v>
      </c>
      <c r="C193" s="5">
        <f t="shared" si="14"/>
        <v>5.41</v>
      </c>
      <c r="D193" s="5">
        <f t="shared" si="15"/>
        <v>16.27</v>
      </c>
      <c r="E193" s="5">
        <v>10.84</v>
      </c>
      <c r="F193">
        <v>9</v>
      </c>
      <c r="G193" s="8">
        <v>10</v>
      </c>
      <c r="H193" s="8">
        <v>22</v>
      </c>
      <c r="I193" t="s">
        <v>107</v>
      </c>
      <c r="J193" t="s">
        <v>82</v>
      </c>
      <c r="K193" t="s">
        <v>77</v>
      </c>
      <c r="L193">
        <v>5.43</v>
      </c>
      <c r="N193" s="6"/>
      <c r="O193" s="5"/>
    </row>
    <row r="194" spans="1:15" x14ac:dyDescent="0.55000000000000004">
      <c r="A194" s="6" t="s">
        <v>28</v>
      </c>
      <c r="B194" s="6">
        <v>11.13</v>
      </c>
      <c r="C194" s="5">
        <f t="shared" si="14"/>
        <v>5.7000000000000011</v>
      </c>
      <c r="D194" s="5">
        <f t="shared" si="15"/>
        <v>16.560000000000002</v>
      </c>
      <c r="E194" s="5">
        <v>16.559999999999999</v>
      </c>
      <c r="F194">
        <v>10</v>
      </c>
      <c r="G194" s="8">
        <v>17</v>
      </c>
      <c r="H194" s="8">
        <v>8</v>
      </c>
      <c r="I194" t="s">
        <v>107</v>
      </c>
      <c r="J194" t="s">
        <v>82</v>
      </c>
      <c r="K194" t="s">
        <v>77</v>
      </c>
      <c r="L194">
        <v>5.43</v>
      </c>
      <c r="N194" s="6"/>
      <c r="O194" s="5"/>
    </row>
    <row r="195" spans="1:15" x14ac:dyDescent="0.55000000000000004">
      <c r="A195" s="6" t="s">
        <v>25</v>
      </c>
      <c r="B195" s="6">
        <v>11.34</v>
      </c>
      <c r="C195" s="5">
        <f t="shared" si="14"/>
        <v>5.91</v>
      </c>
      <c r="D195" s="5">
        <f t="shared" si="15"/>
        <v>16.77</v>
      </c>
      <c r="E195" s="5">
        <v>11.34</v>
      </c>
      <c r="F195">
        <v>11</v>
      </c>
      <c r="G195" s="8">
        <v>11</v>
      </c>
      <c r="H195" s="8">
        <v>11</v>
      </c>
      <c r="I195" t="s">
        <v>107</v>
      </c>
      <c r="J195" t="s">
        <v>82</v>
      </c>
      <c r="K195" t="s">
        <v>77</v>
      </c>
      <c r="L195">
        <v>5.43</v>
      </c>
      <c r="N195" s="6"/>
      <c r="O195" s="5"/>
    </row>
    <row r="196" spans="1:15" x14ac:dyDescent="0.55000000000000004">
      <c r="A196" s="6" t="s">
        <v>41</v>
      </c>
      <c r="B196" s="6">
        <v>12.32</v>
      </c>
      <c r="C196" s="5">
        <f t="shared" si="14"/>
        <v>6.8900000000000006</v>
      </c>
      <c r="D196" s="5">
        <f t="shared" si="15"/>
        <v>17.75</v>
      </c>
      <c r="E196" s="5">
        <v>17.75</v>
      </c>
      <c r="F196">
        <v>12</v>
      </c>
      <c r="G196" s="8">
        <v>18</v>
      </c>
      <c r="H196" s="8">
        <v>3</v>
      </c>
      <c r="I196" t="s">
        <v>107</v>
      </c>
      <c r="J196" t="s">
        <v>82</v>
      </c>
      <c r="K196" t="s">
        <v>77</v>
      </c>
      <c r="L196">
        <v>5.43</v>
      </c>
      <c r="N196" s="6"/>
      <c r="O196" s="5"/>
    </row>
    <row r="197" spans="1:15" x14ac:dyDescent="0.55000000000000004">
      <c r="A197" s="6" t="s">
        <v>48</v>
      </c>
      <c r="B197" s="6">
        <v>12.5</v>
      </c>
      <c r="C197" s="5">
        <f t="shared" si="14"/>
        <v>7.07</v>
      </c>
      <c r="D197" s="5">
        <f t="shared" si="15"/>
        <v>17.93</v>
      </c>
      <c r="E197" s="5">
        <v>12.5</v>
      </c>
      <c r="F197">
        <v>13</v>
      </c>
      <c r="G197" s="8">
        <v>12</v>
      </c>
      <c r="H197" s="8">
        <v>9</v>
      </c>
      <c r="I197" t="s">
        <v>107</v>
      </c>
      <c r="J197" t="s">
        <v>82</v>
      </c>
      <c r="K197" t="s">
        <v>77</v>
      </c>
      <c r="L197">
        <v>5.43</v>
      </c>
      <c r="N197" s="6"/>
      <c r="O197" s="5"/>
    </row>
    <row r="198" spans="1:15" x14ac:dyDescent="0.55000000000000004">
      <c r="A198" s="6" t="s">
        <v>44</v>
      </c>
      <c r="B198" s="6">
        <v>12.54</v>
      </c>
      <c r="C198" s="5">
        <f t="shared" si="14"/>
        <v>7.1099999999999994</v>
      </c>
      <c r="D198" s="5">
        <f t="shared" si="15"/>
        <v>17.97</v>
      </c>
      <c r="E198" s="5">
        <v>7.11</v>
      </c>
      <c r="F198">
        <v>14</v>
      </c>
      <c r="G198" s="8">
        <v>6</v>
      </c>
      <c r="H198" s="8">
        <v>6</v>
      </c>
      <c r="I198" t="s">
        <v>107</v>
      </c>
      <c r="J198" t="s">
        <v>82</v>
      </c>
      <c r="K198" t="s">
        <v>77</v>
      </c>
      <c r="L198">
        <v>5.43</v>
      </c>
      <c r="N198" s="6"/>
      <c r="O198" s="5"/>
    </row>
    <row r="199" spans="1:15" x14ac:dyDescent="0.55000000000000004">
      <c r="A199" s="6" t="s">
        <v>45</v>
      </c>
      <c r="B199" s="6">
        <v>12.69</v>
      </c>
      <c r="C199" s="5">
        <f t="shared" si="14"/>
        <v>7.26</v>
      </c>
      <c r="D199" s="5">
        <f t="shared" si="15"/>
        <v>18.119999999999997</v>
      </c>
      <c r="E199" s="5">
        <v>12.69</v>
      </c>
      <c r="F199">
        <v>15</v>
      </c>
      <c r="G199" s="8">
        <v>13</v>
      </c>
      <c r="H199" s="8">
        <v>17</v>
      </c>
      <c r="I199" t="s">
        <v>107</v>
      </c>
      <c r="J199" t="s">
        <v>82</v>
      </c>
      <c r="K199" t="s">
        <v>77</v>
      </c>
      <c r="L199">
        <v>5.43</v>
      </c>
      <c r="N199" s="6"/>
      <c r="O199" s="5"/>
    </row>
    <row r="200" spans="1:15" x14ac:dyDescent="0.55000000000000004">
      <c r="A200" s="6" t="s">
        <v>49</v>
      </c>
      <c r="B200" s="6">
        <v>13.79</v>
      </c>
      <c r="C200" s="5">
        <f t="shared" si="14"/>
        <v>8.36</v>
      </c>
      <c r="D200" s="5">
        <f t="shared" si="15"/>
        <v>19.22</v>
      </c>
      <c r="E200" s="5">
        <v>19.22</v>
      </c>
      <c r="F200">
        <v>16</v>
      </c>
      <c r="G200" s="8">
        <v>19</v>
      </c>
      <c r="H200" s="8">
        <v>12</v>
      </c>
      <c r="I200" t="s">
        <v>107</v>
      </c>
      <c r="J200" t="s">
        <v>82</v>
      </c>
      <c r="K200" t="s">
        <v>77</v>
      </c>
      <c r="L200">
        <v>5.43</v>
      </c>
      <c r="N200" s="6"/>
      <c r="O200" s="5"/>
    </row>
    <row r="201" spans="1:15" x14ac:dyDescent="0.55000000000000004">
      <c r="A201" s="6" t="s">
        <v>32</v>
      </c>
      <c r="B201" s="6">
        <v>14.58</v>
      </c>
      <c r="C201" s="5">
        <f t="shared" si="14"/>
        <v>9.15</v>
      </c>
      <c r="D201" s="5">
        <f t="shared" si="15"/>
        <v>20.009999999999998</v>
      </c>
      <c r="E201" s="5">
        <v>14.58</v>
      </c>
      <c r="F201">
        <v>17</v>
      </c>
      <c r="G201" s="8">
        <v>14</v>
      </c>
      <c r="H201" s="8">
        <v>13</v>
      </c>
      <c r="I201" t="s">
        <v>107</v>
      </c>
      <c r="J201" t="s">
        <v>82</v>
      </c>
      <c r="K201" t="s">
        <v>77</v>
      </c>
      <c r="L201">
        <v>5.43</v>
      </c>
      <c r="N201" s="6"/>
      <c r="O201" s="5"/>
    </row>
    <row r="202" spans="1:15" x14ac:dyDescent="0.55000000000000004">
      <c r="A202" s="6" t="s">
        <v>30</v>
      </c>
      <c r="B202" s="6">
        <v>15.27</v>
      </c>
      <c r="C202" s="5">
        <f t="shared" si="14"/>
        <v>9.84</v>
      </c>
      <c r="D202" s="5">
        <f t="shared" si="15"/>
        <v>20.7</v>
      </c>
      <c r="E202" s="5">
        <v>20.7</v>
      </c>
      <c r="F202">
        <v>18</v>
      </c>
      <c r="G202" s="8">
        <v>20</v>
      </c>
      <c r="H202" s="8">
        <v>7</v>
      </c>
      <c r="I202" t="s">
        <v>107</v>
      </c>
      <c r="J202" t="s">
        <v>82</v>
      </c>
      <c r="K202" t="s">
        <v>77</v>
      </c>
      <c r="L202">
        <v>5.43</v>
      </c>
      <c r="N202" s="6"/>
      <c r="O202" s="5"/>
    </row>
    <row r="203" spans="1:15" x14ac:dyDescent="0.55000000000000004">
      <c r="A203" s="6" t="s">
        <v>47</v>
      </c>
      <c r="B203" s="6">
        <v>15.41</v>
      </c>
      <c r="C203" s="5">
        <f t="shared" si="14"/>
        <v>9.98</v>
      </c>
      <c r="D203" s="5">
        <f t="shared" si="15"/>
        <v>20.84</v>
      </c>
      <c r="E203" s="5">
        <v>20.84</v>
      </c>
      <c r="F203">
        <v>19</v>
      </c>
      <c r="G203" s="8">
        <v>21</v>
      </c>
      <c r="H203" s="8">
        <v>15</v>
      </c>
      <c r="I203" t="s">
        <v>107</v>
      </c>
      <c r="J203" t="s">
        <v>82</v>
      </c>
      <c r="K203" t="s">
        <v>77</v>
      </c>
      <c r="L203">
        <v>5.43</v>
      </c>
      <c r="N203" s="6"/>
      <c r="O203" s="5"/>
    </row>
    <row r="204" spans="1:15" x14ac:dyDescent="0.55000000000000004">
      <c r="A204" s="6" t="s">
        <v>29</v>
      </c>
      <c r="B204" s="6">
        <v>15.56</v>
      </c>
      <c r="C204" s="5">
        <f t="shared" si="14"/>
        <v>10.130000000000001</v>
      </c>
      <c r="D204" s="5">
        <f t="shared" si="15"/>
        <v>20.990000000000002</v>
      </c>
      <c r="E204" s="5">
        <v>15.56</v>
      </c>
      <c r="F204">
        <v>20</v>
      </c>
      <c r="G204" s="8">
        <v>15</v>
      </c>
      <c r="H204" s="8">
        <v>23</v>
      </c>
      <c r="I204" t="s">
        <v>107</v>
      </c>
      <c r="J204" t="s">
        <v>82</v>
      </c>
      <c r="K204" t="s">
        <v>77</v>
      </c>
      <c r="L204">
        <v>5.43</v>
      </c>
      <c r="N204" s="6"/>
      <c r="O204" s="5"/>
    </row>
    <row r="205" spans="1:15" x14ac:dyDescent="0.55000000000000004">
      <c r="A205" s="6" t="s">
        <v>42</v>
      </c>
      <c r="B205" s="6">
        <v>15.6</v>
      </c>
      <c r="C205" s="5">
        <f t="shared" si="14"/>
        <v>10.17</v>
      </c>
      <c r="D205" s="5">
        <f t="shared" si="15"/>
        <v>21.03</v>
      </c>
      <c r="E205" s="5">
        <v>21.03</v>
      </c>
      <c r="F205">
        <v>21</v>
      </c>
      <c r="G205" s="8">
        <v>22</v>
      </c>
      <c r="H205" s="8">
        <v>25</v>
      </c>
      <c r="I205" t="s">
        <v>107</v>
      </c>
      <c r="J205" t="s">
        <v>82</v>
      </c>
      <c r="K205" t="s">
        <v>77</v>
      </c>
      <c r="L205">
        <v>5.43</v>
      </c>
      <c r="N205" s="6"/>
      <c r="O205" s="5"/>
    </row>
    <row r="206" spans="1:15" x14ac:dyDescent="0.55000000000000004">
      <c r="A206" s="6" t="s">
        <v>31</v>
      </c>
      <c r="B206" s="6">
        <v>16.21</v>
      </c>
      <c r="C206" s="5">
        <f t="shared" si="14"/>
        <v>10.780000000000001</v>
      </c>
      <c r="D206" s="5">
        <f t="shared" si="15"/>
        <v>21.64</v>
      </c>
      <c r="E206" s="5">
        <v>16.21</v>
      </c>
      <c r="F206">
        <v>22</v>
      </c>
      <c r="G206" s="8">
        <v>16</v>
      </c>
      <c r="H206" s="8">
        <v>20</v>
      </c>
      <c r="I206" t="s">
        <v>107</v>
      </c>
      <c r="J206" t="s">
        <v>82</v>
      </c>
      <c r="K206" t="s">
        <v>77</v>
      </c>
      <c r="L206">
        <v>5.43</v>
      </c>
      <c r="N206" s="6"/>
      <c r="O206" s="5"/>
    </row>
    <row r="207" spans="1:15" x14ac:dyDescent="0.55000000000000004">
      <c r="A207" s="6" t="s">
        <v>26</v>
      </c>
      <c r="B207" s="6">
        <v>16.37</v>
      </c>
      <c r="C207" s="5">
        <f t="shared" si="14"/>
        <v>10.940000000000001</v>
      </c>
      <c r="D207" s="5">
        <f t="shared" si="15"/>
        <v>21.8</v>
      </c>
      <c r="E207" s="5">
        <v>21.8</v>
      </c>
      <c r="F207">
        <v>23</v>
      </c>
      <c r="G207" s="8">
        <v>23</v>
      </c>
      <c r="H207" s="8">
        <v>16</v>
      </c>
      <c r="I207" t="s">
        <v>107</v>
      </c>
      <c r="J207" t="s">
        <v>82</v>
      </c>
      <c r="K207" t="s">
        <v>77</v>
      </c>
      <c r="L207">
        <v>5.43</v>
      </c>
      <c r="N207" s="6"/>
      <c r="O207" s="5"/>
    </row>
    <row r="208" spans="1:15" x14ac:dyDescent="0.55000000000000004">
      <c r="A208" s="6" t="s">
        <v>46</v>
      </c>
      <c r="B208" s="6">
        <v>17.170000000000002</v>
      </c>
      <c r="C208" s="5">
        <f t="shared" si="14"/>
        <v>11.740000000000002</v>
      </c>
      <c r="D208" s="5">
        <f t="shared" si="15"/>
        <v>22.6</v>
      </c>
      <c r="E208" s="5">
        <v>22.6</v>
      </c>
      <c r="F208">
        <v>24</v>
      </c>
      <c r="G208" s="8">
        <v>24</v>
      </c>
      <c r="H208" s="8">
        <v>21</v>
      </c>
      <c r="I208" t="s">
        <v>107</v>
      </c>
      <c r="J208" t="s">
        <v>82</v>
      </c>
      <c r="K208" t="s">
        <v>77</v>
      </c>
      <c r="L208">
        <v>5.43</v>
      </c>
      <c r="N208" s="6"/>
      <c r="O208" s="5"/>
    </row>
    <row r="209" spans="1:15" x14ac:dyDescent="0.55000000000000004">
      <c r="A209" s="6" t="s">
        <v>43</v>
      </c>
      <c r="B209" s="6">
        <v>18.11</v>
      </c>
      <c r="C209" s="5">
        <f t="shared" si="14"/>
        <v>12.68</v>
      </c>
      <c r="D209" s="5">
        <f t="shared" si="15"/>
        <v>23.54</v>
      </c>
      <c r="E209" s="5">
        <v>23.54</v>
      </c>
      <c r="F209">
        <v>25</v>
      </c>
      <c r="G209" s="8">
        <v>25</v>
      </c>
      <c r="H209" s="8">
        <v>14</v>
      </c>
      <c r="I209" t="s">
        <v>107</v>
      </c>
      <c r="J209" t="s">
        <v>82</v>
      </c>
      <c r="K209" t="s">
        <v>77</v>
      </c>
      <c r="L209">
        <v>5.43</v>
      </c>
      <c r="N209" s="6"/>
      <c r="O209" s="5"/>
    </row>
    <row r="210" spans="1:15" x14ac:dyDescent="0.55000000000000004">
      <c r="A210" s="6" t="s">
        <v>37</v>
      </c>
      <c r="B210" s="6">
        <v>10.51</v>
      </c>
      <c r="C210" s="5">
        <f>B210-L210</f>
        <v>5.08</v>
      </c>
      <c r="D210" s="5">
        <f>B210+L210</f>
        <v>15.94</v>
      </c>
      <c r="E210" s="5">
        <v>10.51</v>
      </c>
      <c r="F210">
        <v>1</v>
      </c>
      <c r="G210" s="8">
        <v>8</v>
      </c>
      <c r="H210" s="8"/>
      <c r="I210" t="s">
        <v>108</v>
      </c>
      <c r="J210" t="s">
        <v>85</v>
      </c>
      <c r="K210" t="s">
        <v>77</v>
      </c>
      <c r="L210">
        <v>5.43</v>
      </c>
      <c r="N210" s="6"/>
      <c r="O210" s="5"/>
    </row>
    <row r="211" spans="1:15" x14ac:dyDescent="0.55000000000000004">
      <c r="A211" s="6" t="s">
        <v>36</v>
      </c>
      <c r="B211" s="6">
        <v>10.58</v>
      </c>
      <c r="C211" s="5">
        <f t="shared" ref="C211:C234" si="16">B211-L211</f>
        <v>5.15</v>
      </c>
      <c r="D211" s="5">
        <f t="shared" ref="D211:D234" si="17">B211+L211</f>
        <v>16.009999999999998</v>
      </c>
      <c r="E211" s="5">
        <v>10.58</v>
      </c>
      <c r="F211">
        <v>2</v>
      </c>
      <c r="G211" s="8">
        <v>9</v>
      </c>
      <c r="H211" s="8"/>
      <c r="I211" t="s">
        <v>108</v>
      </c>
      <c r="J211" t="s">
        <v>85</v>
      </c>
      <c r="K211" t="s">
        <v>77</v>
      </c>
      <c r="L211">
        <v>5.43</v>
      </c>
      <c r="N211" s="6"/>
      <c r="O211" s="5"/>
    </row>
    <row r="212" spans="1:15" x14ac:dyDescent="0.55000000000000004">
      <c r="A212" s="6" t="s">
        <v>38</v>
      </c>
      <c r="B212" s="6">
        <v>11.03</v>
      </c>
      <c r="C212" s="5">
        <f t="shared" si="16"/>
        <v>5.6</v>
      </c>
      <c r="D212" s="5">
        <f t="shared" si="17"/>
        <v>16.46</v>
      </c>
      <c r="E212" s="5">
        <v>5.6</v>
      </c>
      <c r="F212">
        <v>3</v>
      </c>
      <c r="G212" s="8">
        <v>1</v>
      </c>
      <c r="H212" s="8"/>
      <c r="I212" t="s">
        <v>108</v>
      </c>
      <c r="J212" t="s">
        <v>85</v>
      </c>
      <c r="K212" t="s">
        <v>77</v>
      </c>
      <c r="L212">
        <v>5.43</v>
      </c>
      <c r="N212" s="6"/>
    </row>
    <row r="213" spans="1:15" x14ac:dyDescent="0.55000000000000004">
      <c r="A213" s="6" t="s">
        <v>35</v>
      </c>
      <c r="B213" s="6">
        <v>11.18</v>
      </c>
      <c r="C213" s="5">
        <f t="shared" si="16"/>
        <v>5.75</v>
      </c>
      <c r="D213" s="5">
        <f t="shared" si="17"/>
        <v>16.61</v>
      </c>
      <c r="E213" s="5">
        <v>5.75</v>
      </c>
      <c r="F213">
        <v>4</v>
      </c>
      <c r="G213" s="8">
        <v>2</v>
      </c>
      <c r="H213" s="8"/>
      <c r="I213" t="s">
        <v>108</v>
      </c>
      <c r="J213" t="s">
        <v>85</v>
      </c>
      <c r="K213" t="s">
        <v>77</v>
      </c>
      <c r="L213">
        <v>5.43</v>
      </c>
      <c r="N213" s="6"/>
      <c r="O213" s="5"/>
    </row>
    <row r="214" spans="1:15" x14ac:dyDescent="0.55000000000000004">
      <c r="A214" s="6" t="s">
        <v>27</v>
      </c>
      <c r="B214" s="6">
        <v>11.32</v>
      </c>
      <c r="C214" s="5">
        <f t="shared" si="16"/>
        <v>5.8900000000000006</v>
      </c>
      <c r="D214" s="5">
        <f t="shared" si="17"/>
        <v>16.75</v>
      </c>
      <c r="E214" s="5">
        <v>5.89</v>
      </c>
      <c r="F214">
        <v>5</v>
      </c>
      <c r="G214" s="8">
        <v>3</v>
      </c>
      <c r="H214" s="8"/>
      <c r="I214" t="s">
        <v>108</v>
      </c>
      <c r="J214" t="s">
        <v>85</v>
      </c>
      <c r="K214" t="s">
        <v>77</v>
      </c>
      <c r="L214">
        <v>5.43</v>
      </c>
      <c r="N214" s="6"/>
      <c r="O214" s="5"/>
    </row>
    <row r="215" spans="1:15" x14ac:dyDescent="0.55000000000000004">
      <c r="A215" s="6" t="s">
        <v>39</v>
      </c>
      <c r="B215" s="6">
        <v>11.46</v>
      </c>
      <c r="C215" s="5">
        <f t="shared" si="16"/>
        <v>6.0300000000000011</v>
      </c>
      <c r="D215" s="5">
        <f t="shared" si="17"/>
        <v>16.89</v>
      </c>
      <c r="E215">
        <v>6.03</v>
      </c>
      <c r="F215">
        <v>6</v>
      </c>
      <c r="G215" s="8">
        <v>4</v>
      </c>
      <c r="H215" s="8"/>
      <c r="I215" t="s">
        <v>108</v>
      </c>
      <c r="J215" t="s">
        <v>85</v>
      </c>
      <c r="K215" t="s">
        <v>77</v>
      </c>
      <c r="L215">
        <v>5.43</v>
      </c>
      <c r="N215" s="6"/>
      <c r="O215" s="5"/>
    </row>
    <row r="216" spans="1:15" x14ac:dyDescent="0.55000000000000004">
      <c r="A216" s="6" t="s">
        <v>29</v>
      </c>
      <c r="B216" s="6">
        <v>12.77</v>
      </c>
      <c r="C216" s="5">
        <f t="shared" si="16"/>
        <v>7.34</v>
      </c>
      <c r="D216" s="5">
        <f t="shared" si="17"/>
        <v>18.2</v>
      </c>
      <c r="E216" s="5">
        <v>7.34</v>
      </c>
      <c r="F216">
        <v>7</v>
      </c>
      <c r="G216" s="8">
        <v>5</v>
      </c>
      <c r="H216" s="8"/>
      <c r="I216" t="s">
        <v>108</v>
      </c>
      <c r="J216" t="s">
        <v>85</v>
      </c>
      <c r="K216" t="s">
        <v>77</v>
      </c>
      <c r="L216">
        <v>5.43</v>
      </c>
      <c r="N216" s="6"/>
      <c r="O216" s="5"/>
    </row>
    <row r="217" spans="1:15" x14ac:dyDescent="0.55000000000000004">
      <c r="A217" s="6" t="s">
        <v>48</v>
      </c>
      <c r="B217" s="6">
        <v>12.87</v>
      </c>
      <c r="C217" s="5">
        <f t="shared" si="16"/>
        <v>7.4399999999999995</v>
      </c>
      <c r="D217" s="5">
        <f t="shared" si="17"/>
        <v>18.299999999999997</v>
      </c>
      <c r="E217" s="5">
        <v>18.3</v>
      </c>
      <c r="F217">
        <v>8</v>
      </c>
      <c r="G217" s="8">
        <v>21</v>
      </c>
      <c r="H217" s="8"/>
      <c r="I217" t="s">
        <v>108</v>
      </c>
      <c r="J217" t="s">
        <v>85</v>
      </c>
      <c r="K217" t="s">
        <v>77</v>
      </c>
      <c r="L217">
        <v>5.43</v>
      </c>
      <c r="N217" s="6"/>
      <c r="O217" s="5"/>
    </row>
    <row r="218" spans="1:15" x14ac:dyDescent="0.55000000000000004">
      <c r="A218" s="6" t="s">
        <v>45</v>
      </c>
      <c r="B218" s="6">
        <v>12.9</v>
      </c>
      <c r="C218" s="5">
        <f t="shared" si="16"/>
        <v>7.4700000000000006</v>
      </c>
      <c r="D218" s="5">
        <f t="shared" si="17"/>
        <v>18.329999999999998</v>
      </c>
      <c r="E218" s="5">
        <v>12.9</v>
      </c>
      <c r="F218">
        <v>9</v>
      </c>
      <c r="G218" s="8">
        <v>10</v>
      </c>
      <c r="H218" s="8"/>
      <c r="I218" t="s">
        <v>108</v>
      </c>
      <c r="J218" t="s">
        <v>85</v>
      </c>
      <c r="K218" t="s">
        <v>77</v>
      </c>
      <c r="L218">
        <v>5.43</v>
      </c>
      <c r="N218" s="6"/>
      <c r="O218" s="5"/>
    </row>
    <row r="219" spans="1:15" x14ac:dyDescent="0.55000000000000004">
      <c r="A219" s="6" t="s">
        <v>44</v>
      </c>
      <c r="B219" s="6">
        <v>12.98</v>
      </c>
      <c r="C219" s="5">
        <f t="shared" si="16"/>
        <v>7.5500000000000007</v>
      </c>
      <c r="D219" s="5">
        <f t="shared" si="17"/>
        <v>18.41</v>
      </c>
      <c r="E219" s="5">
        <v>12.98</v>
      </c>
      <c r="F219">
        <v>10</v>
      </c>
      <c r="G219" s="8">
        <v>11</v>
      </c>
      <c r="H219" s="8"/>
      <c r="I219" t="s">
        <v>108</v>
      </c>
      <c r="J219" t="s">
        <v>85</v>
      </c>
      <c r="K219" t="s">
        <v>77</v>
      </c>
      <c r="L219">
        <v>5.43</v>
      </c>
      <c r="N219" s="6"/>
      <c r="O219" s="5"/>
    </row>
    <row r="220" spans="1:15" x14ac:dyDescent="0.55000000000000004">
      <c r="A220" s="6" t="s">
        <v>42</v>
      </c>
      <c r="B220" s="6">
        <v>13.11</v>
      </c>
      <c r="C220" s="5">
        <f t="shared" si="16"/>
        <v>7.68</v>
      </c>
      <c r="D220" s="5">
        <f t="shared" si="17"/>
        <v>18.54</v>
      </c>
      <c r="E220" s="5">
        <v>7.68</v>
      </c>
      <c r="F220">
        <v>11</v>
      </c>
      <c r="G220" s="8">
        <v>6</v>
      </c>
      <c r="H220" s="8"/>
      <c r="I220" t="s">
        <v>108</v>
      </c>
      <c r="J220" t="s">
        <v>85</v>
      </c>
      <c r="K220" t="s">
        <v>77</v>
      </c>
      <c r="L220">
        <v>5.43</v>
      </c>
      <c r="N220" s="6"/>
      <c r="O220" s="5"/>
    </row>
    <row r="221" spans="1:15" x14ac:dyDescent="0.55000000000000004">
      <c r="A221" s="6" t="s">
        <v>49</v>
      </c>
      <c r="B221" s="6">
        <v>13.2</v>
      </c>
      <c r="C221" s="5">
        <f t="shared" si="16"/>
        <v>7.77</v>
      </c>
      <c r="D221" s="5">
        <f t="shared" si="17"/>
        <v>18.63</v>
      </c>
      <c r="E221" s="5">
        <v>13.2</v>
      </c>
      <c r="F221">
        <v>12</v>
      </c>
      <c r="G221" s="8">
        <v>12</v>
      </c>
      <c r="H221" s="8"/>
      <c r="I221" t="s">
        <v>108</v>
      </c>
      <c r="J221" t="s">
        <v>85</v>
      </c>
      <c r="K221" t="s">
        <v>77</v>
      </c>
      <c r="L221">
        <v>5.43</v>
      </c>
      <c r="N221" s="6"/>
      <c r="O221" s="5"/>
    </row>
    <row r="222" spans="1:15" x14ac:dyDescent="0.55000000000000004">
      <c r="A222" s="6" t="s">
        <v>25</v>
      </c>
      <c r="B222" s="6">
        <v>13.22</v>
      </c>
      <c r="C222" s="5">
        <f t="shared" si="16"/>
        <v>7.7900000000000009</v>
      </c>
      <c r="D222" s="5">
        <f t="shared" si="17"/>
        <v>18.649999999999999</v>
      </c>
      <c r="E222" s="5">
        <v>7.79</v>
      </c>
      <c r="F222">
        <v>13</v>
      </c>
      <c r="G222" s="8">
        <v>7</v>
      </c>
      <c r="H222" s="8"/>
      <c r="I222" t="s">
        <v>108</v>
      </c>
      <c r="J222" t="s">
        <v>85</v>
      </c>
      <c r="K222" t="s">
        <v>77</v>
      </c>
      <c r="L222">
        <v>5.43</v>
      </c>
      <c r="N222" s="6"/>
      <c r="O222" s="5"/>
    </row>
    <row r="223" spans="1:15" x14ac:dyDescent="0.55000000000000004">
      <c r="A223" s="6" t="s">
        <v>40</v>
      </c>
      <c r="B223" s="6">
        <v>13.24</v>
      </c>
      <c r="C223" s="5">
        <f t="shared" si="16"/>
        <v>7.8100000000000005</v>
      </c>
      <c r="D223" s="5">
        <f t="shared" si="17"/>
        <v>18.670000000000002</v>
      </c>
      <c r="E223" s="5">
        <v>13.24</v>
      </c>
      <c r="F223">
        <v>14</v>
      </c>
      <c r="G223" s="8">
        <v>13</v>
      </c>
      <c r="H223" s="8"/>
      <c r="I223" t="s">
        <v>108</v>
      </c>
      <c r="J223" t="s">
        <v>85</v>
      </c>
      <c r="K223" t="s">
        <v>77</v>
      </c>
      <c r="L223">
        <v>5.43</v>
      </c>
      <c r="N223" s="6"/>
      <c r="O223" s="5"/>
    </row>
    <row r="224" spans="1:15" x14ac:dyDescent="0.55000000000000004">
      <c r="A224" s="6" t="s">
        <v>34</v>
      </c>
      <c r="B224" s="6">
        <v>13.46</v>
      </c>
      <c r="C224" s="5">
        <f t="shared" si="16"/>
        <v>8.0300000000000011</v>
      </c>
      <c r="D224" s="5">
        <f t="shared" si="17"/>
        <v>18.89</v>
      </c>
      <c r="E224" s="5">
        <v>18.89</v>
      </c>
      <c r="F224">
        <v>15</v>
      </c>
      <c r="G224" s="8">
        <v>22</v>
      </c>
      <c r="H224" s="8"/>
      <c r="I224" t="s">
        <v>108</v>
      </c>
      <c r="J224" t="s">
        <v>85</v>
      </c>
      <c r="K224" t="s">
        <v>77</v>
      </c>
      <c r="L224">
        <v>5.43</v>
      </c>
      <c r="N224" s="6"/>
      <c r="O224" s="5"/>
    </row>
    <row r="225" spans="1:15" x14ac:dyDescent="0.55000000000000004">
      <c r="A225" s="6" t="s">
        <v>33</v>
      </c>
      <c r="B225" s="6">
        <v>13.52</v>
      </c>
      <c r="C225" s="5">
        <f t="shared" si="16"/>
        <v>8.09</v>
      </c>
      <c r="D225" s="5">
        <f t="shared" si="17"/>
        <v>18.95</v>
      </c>
      <c r="E225" s="5">
        <v>13.52</v>
      </c>
      <c r="F225">
        <v>16</v>
      </c>
      <c r="G225" s="8">
        <v>14</v>
      </c>
      <c r="H225" s="8"/>
      <c r="I225" t="s">
        <v>108</v>
      </c>
      <c r="J225" t="s">
        <v>85</v>
      </c>
      <c r="K225" t="s">
        <v>77</v>
      </c>
      <c r="L225">
        <v>5.43</v>
      </c>
      <c r="N225" s="6"/>
      <c r="O225" s="5"/>
    </row>
    <row r="226" spans="1:15" x14ac:dyDescent="0.55000000000000004">
      <c r="A226" s="6" t="s">
        <v>47</v>
      </c>
      <c r="B226" s="6">
        <v>13.68</v>
      </c>
      <c r="C226" s="5">
        <f t="shared" si="16"/>
        <v>8.25</v>
      </c>
      <c r="D226" s="5">
        <f t="shared" si="17"/>
        <v>19.11</v>
      </c>
      <c r="E226" s="5">
        <v>13.68</v>
      </c>
      <c r="F226">
        <v>17</v>
      </c>
      <c r="G226" s="8">
        <v>15</v>
      </c>
      <c r="H226" s="8"/>
      <c r="I226" t="s">
        <v>108</v>
      </c>
      <c r="J226" t="s">
        <v>85</v>
      </c>
      <c r="K226" t="s">
        <v>77</v>
      </c>
      <c r="L226">
        <v>5.43</v>
      </c>
      <c r="N226" s="6"/>
      <c r="O226" s="5"/>
    </row>
    <row r="227" spans="1:15" x14ac:dyDescent="0.55000000000000004">
      <c r="A227" s="6" t="s">
        <v>41</v>
      </c>
      <c r="B227" s="6">
        <v>14.59</v>
      </c>
      <c r="C227" s="5">
        <f t="shared" si="16"/>
        <v>9.16</v>
      </c>
      <c r="D227" s="5">
        <f t="shared" si="17"/>
        <v>20.02</v>
      </c>
      <c r="E227" s="5">
        <v>14.59</v>
      </c>
      <c r="F227">
        <v>18</v>
      </c>
      <c r="G227" s="8">
        <v>16</v>
      </c>
      <c r="H227" s="8"/>
      <c r="I227" t="s">
        <v>108</v>
      </c>
      <c r="J227" t="s">
        <v>85</v>
      </c>
      <c r="K227" t="s">
        <v>77</v>
      </c>
      <c r="L227">
        <v>5.43</v>
      </c>
      <c r="N227" s="6"/>
      <c r="O227" s="5"/>
    </row>
    <row r="228" spans="1:15" x14ac:dyDescent="0.55000000000000004">
      <c r="A228" s="6" t="s">
        <v>28</v>
      </c>
      <c r="B228" s="6">
        <v>14.71</v>
      </c>
      <c r="C228" s="5">
        <f t="shared" si="16"/>
        <v>9.2800000000000011</v>
      </c>
      <c r="D228" s="5">
        <f t="shared" si="17"/>
        <v>20.14</v>
      </c>
      <c r="E228" s="5">
        <v>14.71</v>
      </c>
      <c r="F228">
        <v>19</v>
      </c>
      <c r="G228" s="8">
        <v>17</v>
      </c>
      <c r="H228" s="8"/>
      <c r="I228" t="s">
        <v>108</v>
      </c>
      <c r="J228" t="s">
        <v>85</v>
      </c>
      <c r="K228" t="s">
        <v>77</v>
      </c>
      <c r="L228">
        <v>5.43</v>
      </c>
      <c r="N228" s="6"/>
      <c r="O228" s="5"/>
    </row>
    <row r="229" spans="1:15" x14ac:dyDescent="0.55000000000000004">
      <c r="A229" s="6" t="s">
        <v>32</v>
      </c>
      <c r="B229" s="6">
        <v>14.94</v>
      </c>
      <c r="C229" s="5">
        <f t="shared" si="16"/>
        <v>9.51</v>
      </c>
      <c r="D229" s="5">
        <f t="shared" si="17"/>
        <v>20.369999999999997</v>
      </c>
      <c r="E229" s="5">
        <v>20.37</v>
      </c>
      <c r="F229">
        <v>20</v>
      </c>
      <c r="G229" s="8">
        <v>23</v>
      </c>
      <c r="H229" s="8"/>
      <c r="I229" t="s">
        <v>108</v>
      </c>
      <c r="J229" t="s">
        <v>85</v>
      </c>
      <c r="K229" t="s">
        <v>77</v>
      </c>
      <c r="L229">
        <v>5.43</v>
      </c>
      <c r="N229" s="6"/>
      <c r="O229" s="5"/>
    </row>
    <row r="230" spans="1:15" x14ac:dyDescent="0.55000000000000004">
      <c r="A230" s="6" t="s">
        <v>30</v>
      </c>
      <c r="B230" s="6">
        <v>15.08</v>
      </c>
      <c r="C230" s="5">
        <f t="shared" si="16"/>
        <v>9.65</v>
      </c>
      <c r="D230" s="5">
        <f t="shared" si="17"/>
        <v>20.509999999999998</v>
      </c>
      <c r="E230" s="5">
        <v>20.51</v>
      </c>
      <c r="F230">
        <v>21</v>
      </c>
      <c r="G230" s="8">
        <v>24</v>
      </c>
      <c r="H230" s="8"/>
      <c r="I230" t="s">
        <v>108</v>
      </c>
      <c r="J230" t="s">
        <v>85</v>
      </c>
      <c r="K230" t="s">
        <v>77</v>
      </c>
      <c r="L230">
        <v>5.43</v>
      </c>
      <c r="N230" s="6"/>
      <c r="O230" s="5"/>
    </row>
    <row r="231" spans="1:15" x14ac:dyDescent="0.55000000000000004">
      <c r="A231" s="6" t="s">
        <v>31</v>
      </c>
      <c r="B231" s="6">
        <v>15.11</v>
      </c>
      <c r="C231" s="5">
        <f t="shared" si="16"/>
        <v>9.68</v>
      </c>
      <c r="D231" s="5">
        <f t="shared" si="17"/>
        <v>20.54</v>
      </c>
      <c r="E231" s="5">
        <v>15.11</v>
      </c>
      <c r="F231">
        <v>22</v>
      </c>
      <c r="G231" s="8">
        <v>18</v>
      </c>
      <c r="H231" s="8"/>
      <c r="I231" t="s">
        <v>108</v>
      </c>
      <c r="J231" t="s">
        <v>85</v>
      </c>
      <c r="K231" t="s">
        <v>77</v>
      </c>
      <c r="L231">
        <v>5.43</v>
      </c>
      <c r="N231" s="6"/>
      <c r="O231" s="5"/>
    </row>
    <row r="232" spans="1:15" x14ac:dyDescent="0.55000000000000004">
      <c r="A232" s="6" t="s">
        <v>26</v>
      </c>
      <c r="B232" s="6">
        <v>15.26</v>
      </c>
      <c r="C232" s="5">
        <f t="shared" si="16"/>
        <v>9.83</v>
      </c>
      <c r="D232" s="5">
        <f t="shared" si="17"/>
        <v>20.689999999999998</v>
      </c>
      <c r="E232" s="5">
        <v>15.26</v>
      </c>
      <c r="F232">
        <v>23</v>
      </c>
      <c r="G232" s="8">
        <v>19</v>
      </c>
      <c r="H232" s="8"/>
      <c r="I232" t="s">
        <v>108</v>
      </c>
      <c r="J232" t="s">
        <v>85</v>
      </c>
      <c r="K232" t="s">
        <v>77</v>
      </c>
      <c r="L232">
        <v>5.43</v>
      </c>
      <c r="N232" s="6"/>
      <c r="O232" s="5"/>
    </row>
    <row r="233" spans="1:15" x14ac:dyDescent="0.55000000000000004">
      <c r="A233" s="6" t="s">
        <v>43</v>
      </c>
      <c r="B233" s="6">
        <v>15.31</v>
      </c>
      <c r="C233" s="5">
        <f t="shared" si="16"/>
        <v>9.8800000000000008</v>
      </c>
      <c r="D233" s="5">
        <f t="shared" si="17"/>
        <v>20.740000000000002</v>
      </c>
      <c r="E233" s="5">
        <v>20.74</v>
      </c>
      <c r="F233">
        <v>24</v>
      </c>
      <c r="G233" s="8">
        <v>25</v>
      </c>
      <c r="H233" s="8"/>
      <c r="I233" t="s">
        <v>108</v>
      </c>
      <c r="J233" t="s">
        <v>85</v>
      </c>
      <c r="K233" t="s">
        <v>77</v>
      </c>
      <c r="L233">
        <v>5.43</v>
      </c>
      <c r="N233" s="6"/>
      <c r="O233" s="5"/>
    </row>
    <row r="234" spans="1:15" x14ac:dyDescent="0.55000000000000004">
      <c r="A234" s="6" t="s">
        <v>46</v>
      </c>
      <c r="B234" s="6">
        <v>15.38</v>
      </c>
      <c r="C234" s="5">
        <f>B234-L234</f>
        <v>9.9500000000000011</v>
      </c>
      <c r="D234" s="5">
        <f t="shared" si="17"/>
        <v>20.810000000000002</v>
      </c>
      <c r="E234" s="5">
        <v>15.38</v>
      </c>
      <c r="F234">
        <v>25</v>
      </c>
      <c r="G234" s="8">
        <v>20</v>
      </c>
      <c r="H234" s="8"/>
      <c r="I234" t="s">
        <v>108</v>
      </c>
      <c r="J234" t="s">
        <v>85</v>
      </c>
      <c r="K234" t="s">
        <v>77</v>
      </c>
      <c r="L234">
        <v>5.43</v>
      </c>
    </row>
    <row r="235" spans="1:15" x14ac:dyDescent="0.55000000000000004">
      <c r="G235" s="8"/>
      <c r="H235" s="8"/>
    </row>
    <row r="236" spans="1:15" x14ac:dyDescent="0.55000000000000004">
      <c r="G236" s="8"/>
      <c r="H236" s="8"/>
    </row>
    <row r="237" spans="1:15" x14ac:dyDescent="0.55000000000000004">
      <c r="G237" s="8"/>
      <c r="H237" s="8"/>
    </row>
    <row r="238" spans="1:15" x14ac:dyDescent="0.55000000000000004">
      <c r="G238" s="8"/>
      <c r="H238" s="8"/>
    </row>
    <row r="239" spans="1:15" x14ac:dyDescent="0.55000000000000004">
      <c r="G239" s="8"/>
      <c r="H239" s="8"/>
    </row>
    <row r="240" spans="1:15" x14ac:dyDescent="0.55000000000000004">
      <c r="G240" s="8"/>
      <c r="H240" s="8"/>
    </row>
    <row r="241" spans="7:8" x14ac:dyDescent="0.55000000000000004">
      <c r="G241" s="8"/>
      <c r="H241" s="8"/>
    </row>
    <row r="242" spans="7:8" x14ac:dyDescent="0.55000000000000004">
      <c r="G242" s="8"/>
      <c r="H242" s="8"/>
    </row>
    <row r="243" spans="7:8" x14ac:dyDescent="0.55000000000000004">
      <c r="G243" s="8"/>
      <c r="H243" s="8"/>
    </row>
    <row r="244" spans="7:8" x14ac:dyDescent="0.55000000000000004">
      <c r="G244" s="8"/>
      <c r="H244" s="8"/>
    </row>
    <row r="245" spans="7:8" x14ac:dyDescent="0.55000000000000004">
      <c r="G245" s="8"/>
      <c r="H245" s="8"/>
    </row>
    <row r="246" spans="7:8" x14ac:dyDescent="0.55000000000000004">
      <c r="G246" s="8"/>
      <c r="H246" s="8"/>
    </row>
    <row r="247" spans="7:8" x14ac:dyDescent="0.55000000000000004">
      <c r="G247" s="8"/>
      <c r="H247" s="8"/>
    </row>
    <row r="248" spans="7:8" x14ac:dyDescent="0.55000000000000004">
      <c r="G248" s="8"/>
      <c r="H248" s="8"/>
    </row>
    <row r="249" spans="7:8" x14ac:dyDescent="0.55000000000000004">
      <c r="G249" s="8"/>
      <c r="H249" s="8"/>
    </row>
    <row r="250" spans="7:8" x14ac:dyDescent="0.55000000000000004">
      <c r="G250" s="8"/>
      <c r="H250" s="8"/>
    </row>
    <row r="251" spans="7:8" x14ac:dyDescent="0.55000000000000004">
      <c r="G251" s="8"/>
      <c r="H251" s="8"/>
    </row>
    <row r="252" spans="7:8" x14ac:dyDescent="0.55000000000000004">
      <c r="G252" s="8"/>
      <c r="H252" s="8"/>
    </row>
    <row r="253" spans="7:8" x14ac:dyDescent="0.55000000000000004">
      <c r="G253" s="8"/>
      <c r="H253" s="8"/>
    </row>
    <row r="254" spans="7:8" x14ac:dyDescent="0.55000000000000004">
      <c r="G254" s="8"/>
      <c r="H254" s="8"/>
    </row>
    <row r="255" spans="7:8" x14ac:dyDescent="0.55000000000000004">
      <c r="G255" s="8"/>
      <c r="H255" s="8"/>
    </row>
    <row r="256" spans="7:8" x14ac:dyDescent="0.55000000000000004">
      <c r="G256" s="8"/>
      <c r="H256" s="8"/>
    </row>
    <row r="257" spans="7:8" x14ac:dyDescent="0.55000000000000004">
      <c r="G257" s="8"/>
      <c r="H257" s="8"/>
    </row>
    <row r="258" spans="7:8" x14ac:dyDescent="0.55000000000000004">
      <c r="G258" s="8"/>
      <c r="H258" s="8"/>
    </row>
    <row r="259" spans="7:8" x14ac:dyDescent="0.55000000000000004">
      <c r="G259" s="8"/>
      <c r="H259" s="8"/>
    </row>
    <row r="260" spans="7:8" x14ac:dyDescent="0.55000000000000004">
      <c r="G260" s="8"/>
      <c r="H260" s="8"/>
    </row>
    <row r="261" spans="7:8" x14ac:dyDescent="0.55000000000000004">
      <c r="G261" s="8"/>
      <c r="H261" s="8"/>
    </row>
    <row r="262" spans="7:8" x14ac:dyDescent="0.55000000000000004">
      <c r="G262" s="8"/>
      <c r="H262" s="8"/>
    </row>
    <row r="263" spans="7:8" x14ac:dyDescent="0.55000000000000004">
      <c r="G263" s="8"/>
      <c r="H263" s="8"/>
    </row>
    <row r="264" spans="7:8" x14ac:dyDescent="0.55000000000000004">
      <c r="G264" s="8"/>
      <c r="H264" s="8"/>
    </row>
    <row r="265" spans="7:8" x14ac:dyDescent="0.55000000000000004">
      <c r="G265" s="8"/>
      <c r="H265" s="8"/>
    </row>
    <row r="266" spans="7:8" x14ac:dyDescent="0.55000000000000004">
      <c r="G266" s="8"/>
      <c r="H266" s="8"/>
    </row>
    <row r="267" spans="7:8" x14ac:dyDescent="0.55000000000000004">
      <c r="G267" s="8"/>
      <c r="H267" s="8"/>
    </row>
    <row r="268" spans="7:8" x14ac:dyDescent="0.55000000000000004">
      <c r="G268" s="8"/>
      <c r="H268" s="8"/>
    </row>
    <row r="269" spans="7:8" x14ac:dyDescent="0.55000000000000004">
      <c r="G269" s="8"/>
      <c r="H269" s="8"/>
    </row>
    <row r="270" spans="7:8" x14ac:dyDescent="0.55000000000000004">
      <c r="G270" s="8"/>
      <c r="H270" s="8"/>
    </row>
    <row r="271" spans="7:8" x14ac:dyDescent="0.55000000000000004">
      <c r="G271" s="8"/>
      <c r="H271" s="8"/>
    </row>
    <row r="272" spans="7:8" x14ac:dyDescent="0.55000000000000004">
      <c r="G272" s="8"/>
      <c r="H272" s="8"/>
    </row>
    <row r="273" spans="7:8" x14ac:dyDescent="0.55000000000000004">
      <c r="G273" s="8"/>
      <c r="H273" s="8"/>
    </row>
    <row r="274" spans="7:8" x14ac:dyDescent="0.55000000000000004">
      <c r="G274" s="8"/>
      <c r="H274" s="8"/>
    </row>
    <row r="275" spans="7:8" x14ac:dyDescent="0.55000000000000004">
      <c r="G275" s="8"/>
      <c r="H275" s="8"/>
    </row>
    <row r="276" spans="7:8" x14ac:dyDescent="0.55000000000000004">
      <c r="G276" s="8"/>
      <c r="H276" s="8"/>
    </row>
    <row r="277" spans="7:8" x14ac:dyDescent="0.55000000000000004">
      <c r="G277" s="8"/>
      <c r="H277" s="8"/>
    </row>
    <row r="278" spans="7:8" x14ac:dyDescent="0.55000000000000004">
      <c r="G278" s="8"/>
      <c r="H278" s="8"/>
    </row>
    <row r="279" spans="7:8" x14ac:dyDescent="0.55000000000000004">
      <c r="G279" s="8"/>
      <c r="H279" s="8"/>
    </row>
    <row r="280" spans="7:8" x14ac:dyDescent="0.55000000000000004">
      <c r="G280" s="8"/>
      <c r="H280" s="8"/>
    </row>
    <row r="281" spans="7:8" x14ac:dyDescent="0.55000000000000004">
      <c r="G281" s="8"/>
      <c r="H281" s="8"/>
    </row>
    <row r="282" spans="7:8" x14ac:dyDescent="0.55000000000000004">
      <c r="G282" s="8"/>
      <c r="H282" s="8"/>
    </row>
    <row r="283" spans="7:8" x14ac:dyDescent="0.55000000000000004">
      <c r="G283" s="8"/>
      <c r="H283" s="8"/>
    </row>
    <row r="284" spans="7:8" x14ac:dyDescent="0.55000000000000004">
      <c r="G284" s="8"/>
      <c r="H284" s="8"/>
    </row>
    <row r="285" spans="7:8" x14ac:dyDescent="0.55000000000000004">
      <c r="G285" s="8"/>
      <c r="H285" s="8"/>
    </row>
    <row r="286" spans="7:8" x14ac:dyDescent="0.55000000000000004">
      <c r="G286" s="8"/>
      <c r="H286" s="8"/>
    </row>
    <row r="287" spans="7:8" x14ac:dyDescent="0.55000000000000004">
      <c r="G287" s="8"/>
      <c r="H287" s="8"/>
    </row>
    <row r="288" spans="7:8" x14ac:dyDescent="0.55000000000000004">
      <c r="G288" s="8"/>
      <c r="H288" s="8"/>
    </row>
    <row r="289" spans="7:8" x14ac:dyDescent="0.55000000000000004">
      <c r="G289" s="8"/>
      <c r="H289" s="8"/>
    </row>
    <row r="290" spans="7:8" x14ac:dyDescent="0.55000000000000004">
      <c r="G290" s="8"/>
      <c r="H290" s="8"/>
    </row>
    <row r="291" spans="7:8" x14ac:dyDescent="0.55000000000000004">
      <c r="G291" s="8"/>
      <c r="H291" s="8"/>
    </row>
    <row r="292" spans="7:8" x14ac:dyDescent="0.55000000000000004">
      <c r="G292" s="8"/>
      <c r="H292" s="8"/>
    </row>
    <row r="293" spans="7:8" x14ac:dyDescent="0.55000000000000004">
      <c r="G293" s="8"/>
      <c r="H293" s="8"/>
    </row>
    <row r="294" spans="7:8" x14ac:dyDescent="0.55000000000000004">
      <c r="G294" s="8"/>
      <c r="H294" s="8"/>
    </row>
    <row r="295" spans="7:8" x14ac:dyDescent="0.55000000000000004">
      <c r="G295" s="8"/>
      <c r="H295" s="8"/>
    </row>
    <row r="296" spans="7:8" x14ac:dyDescent="0.55000000000000004">
      <c r="G296" s="8"/>
      <c r="H296" s="8"/>
    </row>
    <row r="297" spans="7:8" x14ac:dyDescent="0.55000000000000004">
      <c r="G297" s="8"/>
      <c r="H297" s="8"/>
    </row>
    <row r="298" spans="7:8" x14ac:dyDescent="0.55000000000000004">
      <c r="G298" s="8"/>
      <c r="H298" s="8"/>
    </row>
    <row r="299" spans="7:8" x14ac:dyDescent="0.55000000000000004">
      <c r="G299" s="8"/>
      <c r="H299" s="8"/>
    </row>
    <row r="300" spans="7:8" x14ac:dyDescent="0.55000000000000004">
      <c r="G300" s="8"/>
      <c r="H300" s="8"/>
    </row>
    <row r="301" spans="7:8" x14ac:dyDescent="0.55000000000000004">
      <c r="G301" s="8"/>
      <c r="H301" s="8"/>
    </row>
    <row r="302" spans="7:8" x14ac:dyDescent="0.55000000000000004">
      <c r="G302" s="8"/>
      <c r="H302" s="8"/>
    </row>
    <row r="303" spans="7:8" x14ac:dyDescent="0.55000000000000004">
      <c r="G303" s="8"/>
      <c r="H303" s="8"/>
    </row>
    <row r="304" spans="7:8" x14ac:dyDescent="0.55000000000000004">
      <c r="G304" s="8"/>
      <c r="H304" s="8"/>
    </row>
    <row r="305" spans="7:8" x14ac:dyDescent="0.55000000000000004">
      <c r="G305" s="8"/>
      <c r="H305" s="8"/>
    </row>
    <row r="306" spans="7:8" x14ac:dyDescent="0.55000000000000004">
      <c r="G306" s="8"/>
      <c r="H306" s="8"/>
    </row>
    <row r="307" spans="7:8" x14ac:dyDescent="0.55000000000000004">
      <c r="G307" s="8"/>
      <c r="H307" s="8"/>
    </row>
    <row r="308" spans="7:8" x14ac:dyDescent="0.55000000000000004">
      <c r="G308" s="8"/>
      <c r="H308" s="8"/>
    </row>
    <row r="309" spans="7:8" x14ac:dyDescent="0.55000000000000004">
      <c r="G309" s="8"/>
      <c r="H309" s="8"/>
    </row>
    <row r="310" spans="7:8" x14ac:dyDescent="0.55000000000000004">
      <c r="G310" s="8"/>
      <c r="H310" s="8"/>
    </row>
    <row r="311" spans="7:8" x14ac:dyDescent="0.55000000000000004">
      <c r="G311" s="8"/>
      <c r="H311" s="8"/>
    </row>
    <row r="312" spans="7:8" x14ac:dyDescent="0.55000000000000004">
      <c r="G312" s="8"/>
      <c r="H312" s="8"/>
    </row>
    <row r="313" spans="7:8" x14ac:dyDescent="0.55000000000000004">
      <c r="G313" s="8"/>
      <c r="H313" s="8"/>
    </row>
    <row r="314" spans="7:8" x14ac:dyDescent="0.55000000000000004">
      <c r="G314" s="8"/>
      <c r="H314" s="8"/>
    </row>
    <row r="315" spans="7:8" x14ac:dyDescent="0.55000000000000004">
      <c r="G315" s="8"/>
      <c r="H315" s="8"/>
    </row>
    <row r="316" spans="7:8" x14ac:dyDescent="0.55000000000000004">
      <c r="G316" s="8"/>
      <c r="H316" s="8"/>
    </row>
    <row r="317" spans="7:8" x14ac:dyDescent="0.55000000000000004">
      <c r="G317" s="8"/>
      <c r="H317" s="8"/>
    </row>
    <row r="318" spans="7:8" x14ac:dyDescent="0.55000000000000004">
      <c r="G318" s="8"/>
      <c r="H318" s="8"/>
    </row>
    <row r="319" spans="7:8" x14ac:dyDescent="0.55000000000000004">
      <c r="G319" s="8"/>
      <c r="H319" s="8"/>
    </row>
    <row r="320" spans="7:8" x14ac:dyDescent="0.55000000000000004">
      <c r="G320" s="8"/>
      <c r="H320" s="8"/>
    </row>
    <row r="321" spans="7:8" x14ac:dyDescent="0.55000000000000004">
      <c r="G321" s="8"/>
      <c r="H321" s="8"/>
    </row>
    <row r="322" spans="7:8" x14ac:dyDescent="0.55000000000000004">
      <c r="G322" s="8"/>
      <c r="H322" s="8"/>
    </row>
    <row r="323" spans="7:8" x14ac:dyDescent="0.55000000000000004">
      <c r="G323" s="8"/>
      <c r="H323" s="8"/>
    </row>
    <row r="324" spans="7:8" x14ac:dyDescent="0.55000000000000004">
      <c r="G324" s="8"/>
      <c r="H324" s="8"/>
    </row>
    <row r="325" spans="7:8" x14ac:dyDescent="0.55000000000000004">
      <c r="G325" s="8"/>
      <c r="H325" s="8"/>
    </row>
    <row r="326" spans="7:8" x14ac:dyDescent="0.55000000000000004">
      <c r="G326" s="8"/>
      <c r="H326" s="8"/>
    </row>
    <row r="327" spans="7:8" x14ac:dyDescent="0.55000000000000004">
      <c r="G327" s="8"/>
      <c r="H327" s="8"/>
    </row>
    <row r="328" spans="7:8" x14ac:dyDescent="0.55000000000000004">
      <c r="G328" s="8"/>
      <c r="H328" s="8"/>
    </row>
    <row r="329" spans="7:8" x14ac:dyDescent="0.55000000000000004">
      <c r="G329" s="8"/>
      <c r="H329" s="8"/>
    </row>
    <row r="330" spans="7:8" x14ac:dyDescent="0.55000000000000004">
      <c r="G330" s="8"/>
      <c r="H330" s="8"/>
    </row>
    <row r="331" spans="7:8" x14ac:dyDescent="0.55000000000000004">
      <c r="G331" s="8"/>
      <c r="H331" s="8"/>
    </row>
    <row r="332" spans="7:8" x14ac:dyDescent="0.55000000000000004">
      <c r="G332" s="8"/>
      <c r="H332" s="8"/>
    </row>
    <row r="333" spans="7:8" x14ac:dyDescent="0.55000000000000004">
      <c r="G333" s="8"/>
      <c r="H333" s="8"/>
    </row>
    <row r="334" spans="7:8" x14ac:dyDescent="0.55000000000000004">
      <c r="G334" s="8"/>
      <c r="H334" s="8"/>
    </row>
    <row r="335" spans="7:8" x14ac:dyDescent="0.55000000000000004">
      <c r="G335" s="8"/>
      <c r="H335" s="8"/>
    </row>
    <row r="336" spans="7:8" x14ac:dyDescent="0.55000000000000004">
      <c r="G336" s="8"/>
      <c r="H336" s="8"/>
    </row>
    <row r="337" spans="7:8" x14ac:dyDescent="0.55000000000000004">
      <c r="G337" s="8"/>
      <c r="H337" s="8"/>
    </row>
    <row r="338" spans="7:8" x14ac:dyDescent="0.55000000000000004">
      <c r="G338" s="8"/>
      <c r="H338" s="8"/>
    </row>
    <row r="339" spans="7:8" x14ac:dyDescent="0.55000000000000004">
      <c r="G339" s="8"/>
      <c r="H339" s="8"/>
    </row>
    <row r="340" spans="7:8" x14ac:dyDescent="0.55000000000000004">
      <c r="G340" s="8"/>
      <c r="H340" s="8"/>
    </row>
    <row r="341" spans="7:8" x14ac:dyDescent="0.55000000000000004">
      <c r="G341" s="8"/>
      <c r="H341" s="8"/>
    </row>
    <row r="342" spans="7:8" x14ac:dyDescent="0.55000000000000004">
      <c r="G342" s="8"/>
      <c r="H342" s="8"/>
    </row>
    <row r="343" spans="7:8" x14ac:dyDescent="0.55000000000000004">
      <c r="G343" s="8"/>
      <c r="H343" s="8"/>
    </row>
    <row r="344" spans="7:8" x14ac:dyDescent="0.55000000000000004">
      <c r="G344" s="8"/>
      <c r="H344" s="8"/>
    </row>
    <row r="345" spans="7:8" x14ac:dyDescent="0.55000000000000004">
      <c r="G345" s="8"/>
      <c r="H345" s="8"/>
    </row>
    <row r="346" spans="7:8" x14ac:dyDescent="0.55000000000000004">
      <c r="G346" s="8"/>
      <c r="H346" s="8"/>
    </row>
    <row r="347" spans="7:8" x14ac:dyDescent="0.55000000000000004">
      <c r="G347" s="8"/>
      <c r="H347" s="8"/>
    </row>
    <row r="348" spans="7:8" x14ac:dyDescent="0.55000000000000004">
      <c r="G348" s="8"/>
      <c r="H348" s="8"/>
    </row>
    <row r="349" spans="7:8" x14ac:dyDescent="0.55000000000000004">
      <c r="G349" s="8"/>
      <c r="H349" s="8"/>
    </row>
    <row r="350" spans="7:8" x14ac:dyDescent="0.55000000000000004">
      <c r="G350" s="8"/>
      <c r="H350" s="8"/>
    </row>
    <row r="351" spans="7:8" x14ac:dyDescent="0.55000000000000004">
      <c r="G351" s="8"/>
      <c r="H351" s="8"/>
    </row>
    <row r="352" spans="7:8" x14ac:dyDescent="0.55000000000000004">
      <c r="G352" s="8"/>
      <c r="H352" s="8"/>
    </row>
    <row r="353" spans="7:8" x14ac:dyDescent="0.55000000000000004">
      <c r="G353" s="8"/>
      <c r="H353" s="8"/>
    </row>
    <row r="354" spans="7:8" x14ac:dyDescent="0.55000000000000004">
      <c r="G354" s="8"/>
      <c r="H354" s="8"/>
    </row>
    <row r="355" spans="7:8" x14ac:dyDescent="0.55000000000000004">
      <c r="G355" s="8"/>
      <c r="H355" s="8"/>
    </row>
    <row r="356" spans="7:8" x14ac:dyDescent="0.55000000000000004">
      <c r="H356" s="8"/>
    </row>
    <row r="357" spans="7:8" x14ac:dyDescent="0.55000000000000004">
      <c r="H357" s="8"/>
    </row>
  </sheetData>
  <sortState xmlns:xlrd2="http://schemas.microsoft.com/office/spreadsheetml/2017/richdata2" ref="N209:O233">
    <sortCondition ref="O209:O233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234"/>
  <sheetViews>
    <sheetView tabSelected="1" workbookViewId="0">
      <pane ySplit="1" topLeftCell="A210" activePane="bottomLeft" state="frozen"/>
      <selection pane="bottomLeft" activeCell="R227" sqref="R227"/>
    </sheetView>
  </sheetViews>
  <sheetFormatPr defaultRowHeight="14.4" x14ac:dyDescent="0.55000000000000004"/>
  <cols>
    <col min="1" max="1" width="18.367187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5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6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19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2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7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14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20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24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8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25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9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13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15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16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11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18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22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21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17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12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  <row r="127" spans="1:15" x14ac:dyDescent="0.55000000000000004">
      <c r="A127" s="6" t="s">
        <v>39</v>
      </c>
      <c r="B127" s="6">
        <v>5.52</v>
      </c>
      <c r="C127" s="5">
        <f>B127-L127</f>
        <v>0.38999999999999968</v>
      </c>
      <c r="D127" s="5">
        <f>B127+L127</f>
        <v>10.649999999999999</v>
      </c>
      <c r="E127" s="5">
        <v>0.39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86</v>
      </c>
      <c r="L127" s="5">
        <v>5.13</v>
      </c>
      <c r="N127" s="6"/>
      <c r="O127" s="5"/>
    </row>
    <row r="128" spans="1:15" x14ac:dyDescent="0.55000000000000004">
      <c r="A128" s="6" t="s">
        <v>38</v>
      </c>
      <c r="B128" s="6">
        <v>7.15</v>
      </c>
      <c r="C128" s="5">
        <f t="shared" ref="C128:C151" si="9">B128-L128</f>
        <v>2.0200000000000005</v>
      </c>
      <c r="D128" s="5">
        <f t="shared" ref="D128:D151" si="10">B128+L128</f>
        <v>12.280000000000001</v>
      </c>
      <c r="E128" s="5">
        <v>2.02</v>
      </c>
      <c r="F128">
        <v>2</v>
      </c>
      <c r="G128" s="8">
        <v>2</v>
      </c>
      <c r="H128" s="8">
        <v>18</v>
      </c>
      <c r="I128" t="s">
        <v>89</v>
      </c>
      <c r="J128" t="s">
        <v>76</v>
      </c>
      <c r="K128" t="s">
        <v>86</v>
      </c>
      <c r="L128" s="5">
        <v>5.13</v>
      </c>
      <c r="N128" s="6"/>
      <c r="O128" s="5"/>
    </row>
    <row r="129" spans="1:15" x14ac:dyDescent="0.55000000000000004">
      <c r="A129" s="6" t="s">
        <v>27</v>
      </c>
      <c r="B129" s="6">
        <v>7.39</v>
      </c>
      <c r="C129" s="5">
        <f t="shared" si="9"/>
        <v>2.2599999999999998</v>
      </c>
      <c r="D129" s="5">
        <f t="shared" si="10"/>
        <v>12.52</v>
      </c>
      <c r="E129" s="5">
        <v>7.39</v>
      </c>
      <c r="F129">
        <v>3</v>
      </c>
      <c r="G129" s="8">
        <v>7</v>
      </c>
      <c r="H129" s="8">
        <v>6</v>
      </c>
      <c r="I129" t="s">
        <v>89</v>
      </c>
      <c r="J129" t="s">
        <v>76</v>
      </c>
      <c r="K129" t="s">
        <v>86</v>
      </c>
      <c r="L129" s="5">
        <v>5.13</v>
      </c>
      <c r="N129" s="6"/>
      <c r="O129" s="5"/>
    </row>
    <row r="130" spans="1:15" x14ac:dyDescent="0.55000000000000004">
      <c r="A130" s="6" t="s">
        <v>34</v>
      </c>
      <c r="B130" s="6">
        <v>7.51</v>
      </c>
      <c r="C130" s="5">
        <f t="shared" si="9"/>
        <v>2.38</v>
      </c>
      <c r="D130" s="5">
        <f t="shared" si="10"/>
        <v>12.64</v>
      </c>
      <c r="E130" s="5">
        <v>2.38</v>
      </c>
      <c r="F130">
        <v>4</v>
      </c>
      <c r="G130" s="8">
        <v>3</v>
      </c>
      <c r="H130" s="8">
        <v>1</v>
      </c>
      <c r="I130" t="s">
        <v>89</v>
      </c>
      <c r="J130" t="s">
        <v>76</v>
      </c>
      <c r="K130" t="s">
        <v>86</v>
      </c>
      <c r="L130" s="5">
        <v>5.13</v>
      </c>
      <c r="N130" s="6"/>
      <c r="O130" s="5"/>
    </row>
    <row r="131" spans="1:15" x14ac:dyDescent="0.55000000000000004">
      <c r="A131" s="6" t="s">
        <v>35</v>
      </c>
      <c r="B131" s="6">
        <v>8.9</v>
      </c>
      <c r="C131" s="5">
        <f t="shared" si="9"/>
        <v>3.7700000000000005</v>
      </c>
      <c r="D131" s="5">
        <f t="shared" si="10"/>
        <v>14.030000000000001</v>
      </c>
      <c r="E131" s="5">
        <v>3.77</v>
      </c>
      <c r="F131">
        <v>5</v>
      </c>
      <c r="G131" s="8">
        <v>4</v>
      </c>
      <c r="H131" s="8">
        <v>2</v>
      </c>
      <c r="I131" t="s">
        <v>89</v>
      </c>
      <c r="J131" t="s">
        <v>76</v>
      </c>
      <c r="K131" t="s">
        <v>86</v>
      </c>
      <c r="L131" s="5">
        <v>5.13</v>
      </c>
      <c r="N131" s="6"/>
      <c r="O131" s="5"/>
    </row>
    <row r="132" spans="1:15" x14ac:dyDescent="0.55000000000000004">
      <c r="A132" s="6" t="s">
        <v>33</v>
      </c>
      <c r="B132" s="6">
        <v>9.32</v>
      </c>
      <c r="C132" s="5">
        <f t="shared" si="9"/>
        <v>4.1900000000000004</v>
      </c>
      <c r="D132" s="5">
        <f t="shared" si="10"/>
        <v>14.45</v>
      </c>
      <c r="E132" s="5">
        <v>4.1900000000000004</v>
      </c>
      <c r="F132">
        <v>6</v>
      </c>
      <c r="G132" s="8">
        <v>5</v>
      </c>
      <c r="H132" s="8">
        <v>9</v>
      </c>
      <c r="I132" t="s">
        <v>89</v>
      </c>
      <c r="J132" t="s">
        <v>76</v>
      </c>
      <c r="K132" t="s">
        <v>86</v>
      </c>
      <c r="L132" s="5">
        <v>5.13</v>
      </c>
      <c r="N132" s="6"/>
      <c r="O132" s="5"/>
    </row>
    <row r="133" spans="1:15" x14ac:dyDescent="0.55000000000000004">
      <c r="A133" s="6" t="s">
        <v>37</v>
      </c>
      <c r="B133" s="6">
        <v>9.4</v>
      </c>
      <c r="C133" s="5">
        <f t="shared" si="9"/>
        <v>4.2700000000000005</v>
      </c>
      <c r="D133" s="5">
        <f t="shared" si="10"/>
        <v>14.530000000000001</v>
      </c>
      <c r="E133" s="5">
        <v>9.4</v>
      </c>
      <c r="F133">
        <v>7</v>
      </c>
      <c r="G133" s="8">
        <v>8</v>
      </c>
      <c r="H133" s="8">
        <v>4</v>
      </c>
      <c r="I133" t="s">
        <v>89</v>
      </c>
      <c r="J133" t="s">
        <v>76</v>
      </c>
      <c r="K133" t="s">
        <v>86</v>
      </c>
      <c r="L133" s="5">
        <v>5.13</v>
      </c>
      <c r="N133" s="6"/>
      <c r="O133" s="5"/>
    </row>
    <row r="134" spans="1:15" x14ac:dyDescent="0.55000000000000004">
      <c r="A134" s="6" t="s">
        <v>44</v>
      </c>
      <c r="B134" s="6">
        <v>9.68</v>
      </c>
      <c r="C134" s="5">
        <f t="shared" si="9"/>
        <v>4.55</v>
      </c>
      <c r="D134" s="5">
        <f t="shared" si="10"/>
        <v>14.809999999999999</v>
      </c>
      <c r="E134" s="5">
        <v>9.68</v>
      </c>
      <c r="F134">
        <v>8</v>
      </c>
      <c r="G134" s="8">
        <v>9</v>
      </c>
      <c r="H134" s="8">
        <v>23</v>
      </c>
      <c r="I134" t="s">
        <v>89</v>
      </c>
      <c r="J134" t="s">
        <v>76</v>
      </c>
      <c r="K134" t="s">
        <v>86</v>
      </c>
      <c r="L134" s="5">
        <v>5.13</v>
      </c>
      <c r="N134" s="6"/>
      <c r="O134" s="5"/>
    </row>
    <row r="135" spans="1:15" x14ac:dyDescent="0.55000000000000004">
      <c r="A135" s="6" t="s">
        <v>41</v>
      </c>
      <c r="B135" s="6">
        <v>9.9700000000000006</v>
      </c>
      <c r="C135" s="5">
        <f t="shared" si="9"/>
        <v>4.8400000000000007</v>
      </c>
      <c r="D135" s="5">
        <f t="shared" si="10"/>
        <v>15.100000000000001</v>
      </c>
      <c r="E135" s="5">
        <v>4.84</v>
      </c>
      <c r="F135">
        <v>9</v>
      </c>
      <c r="G135" s="8">
        <v>6</v>
      </c>
      <c r="H135" s="8">
        <v>3</v>
      </c>
      <c r="I135" t="s">
        <v>89</v>
      </c>
      <c r="J135" t="s">
        <v>76</v>
      </c>
      <c r="K135" t="s">
        <v>86</v>
      </c>
      <c r="L135" s="5">
        <v>5.13</v>
      </c>
      <c r="N135" s="6"/>
      <c r="O135" s="5"/>
    </row>
    <row r="136" spans="1:15" x14ac:dyDescent="0.55000000000000004">
      <c r="A136" s="6" t="s">
        <v>36</v>
      </c>
      <c r="B136" s="6">
        <v>11.1</v>
      </c>
      <c r="C136" s="5">
        <f t="shared" si="9"/>
        <v>5.97</v>
      </c>
      <c r="D136" s="5">
        <f t="shared" si="10"/>
        <v>16.23</v>
      </c>
      <c r="E136" s="5">
        <v>11.1</v>
      </c>
      <c r="F136">
        <v>10</v>
      </c>
      <c r="G136" s="8">
        <v>11</v>
      </c>
      <c r="H136" s="8">
        <v>16</v>
      </c>
      <c r="I136" t="s">
        <v>89</v>
      </c>
      <c r="J136" t="s">
        <v>76</v>
      </c>
      <c r="K136" t="s">
        <v>86</v>
      </c>
      <c r="L136" s="5">
        <v>5.13</v>
      </c>
      <c r="N136" s="6"/>
      <c r="O136" s="5"/>
    </row>
    <row r="137" spans="1:15" x14ac:dyDescent="0.55000000000000004">
      <c r="A137" s="6" t="s">
        <v>25</v>
      </c>
      <c r="B137" s="6">
        <v>11.61</v>
      </c>
      <c r="C137" s="5">
        <f t="shared" si="9"/>
        <v>6.4799999999999995</v>
      </c>
      <c r="D137" s="5">
        <f t="shared" si="10"/>
        <v>16.739999999999998</v>
      </c>
      <c r="E137" s="5">
        <v>11.61</v>
      </c>
      <c r="F137">
        <v>11</v>
      </c>
      <c r="G137" s="8">
        <v>12</v>
      </c>
      <c r="H137" s="8">
        <v>11</v>
      </c>
      <c r="I137" t="s">
        <v>89</v>
      </c>
      <c r="J137" t="s">
        <v>76</v>
      </c>
      <c r="K137" t="s">
        <v>86</v>
      </c>
      <c r="L137" s="5">
        <v>5.13</v>
      </c>
      <c r="N137" s="6"/>
      <c r="O137" s="5"/>
    </row>
    <row r="138" spans="1:15" x14ac:dyDescent="0.55000000000000004">
      <c r="A138" s="6" t="s">
        <v>28</v>
      </c>
      <c r="B138" s="6">
        <v>11.63</v>
      </c>
      <c r="C138" s="5">
        <f t="shared" si="9"/>
        <v>6.5000000000000009</v>
      </c>
      <c r="D138" s="5">
        <f t="shared" si="10"/>
        <v>16.760000000000002</v>
      </c>
      <c r="E138" s="5">
        <v>16.760000000000002</v>
      </c>
      <c r="F138">
        <v>12</v>
      </c>
      <c r="G138" s="8">
        <v>21</v>
      </c>
      <c r="H138" s="8">
        <v>22</v>
      </c>
      <c r="I138" t="s">
        <v>89</v>
      </c>
      <c r="J138" t="s">
        <v>76</v>
      </c>
      <c r="K138" t="s">
        <v>86</v>
      </c>
      <c r="L138" s="5">
        <v>5.13</v>
      </c>
      <c r="N138" s="6"/>
      <c r="O138" s="5"/>
    </row>
    <row r="139" spans="1:15" x14ac:dyDescent="0.55000000000000004">
      <c r="A139" s="6" t="s">
        <v>40</v>
      </c>
      <c r="B139" s="6">
        <v>12.35</v>
      </c>
      <c r="C139" s="5">
        <f t="shared" si="9"/>
        <v>7.22</v>
      </c>
      <c r="D139" s="5">
        <f t="shared" si="10"/>
        <v>17.48</v>
      </c>
      <c r="E139" s="5">
        <v>12.35</v>
      </c>
      <c r="F139">
        <v>13</v>
      </c>
      <c r="G139" s="8">
        <v>13</v>
      </c>
      <c r="H139" s="8">
        <v>13</v>
      </c>
      <c r="I139" t="s">
        <v>89</v>
      </c>
      <c r="J139" t="s">
        <v>76</v>
      </c>
      <c r="K139" t="s">
        <v>86</v>
      </c>
      <c r="L139" s="5">
        <v>5.13</v>
      </c>
      <c r="N139" s="6"/>
      <c r="O139" s="5"/>
    </row>
    <row r="140" spans="1:15" x14ac:dyDescent="0.55000000000000004">
      <c r="A140" s="6" t="s">
        <v>30</v>
      </c>
      <c r="B140" s="6">
        <v>12.71</v>
      </c>
      <c r="C140" s="5">
        <f t="shared" si="9"/>
        <v>7.580000000000001</v>
      </c>
      <c r="D140" s="5">
        <f t="shared" si="10"/>
        <v>17.84</v>
      </c>
      <c r="E140" s="5">
        <v>12.71</v>
      </c>
      <c r="F140">
        <v>14</v>
      </c>
      <c r="G140" s="8">
        <v>14</v>
      </c>
      <c r="H140" s="8">
        <v>7</v>
      </c>
      <c r="I140" t="s">
        <v>89</v>
      </c>
      <c r="J140" t="s">
        <v>76</v>
      </c>
      <c r="K140" t="s">
        <v>86</v>
      </c>
      <c r="L140" s="5">
        <v>5.13</v>
      </c>
      <c r="N140" s="6"/>
      <c r="O140" s="5"/>
    </row>
    <row r="141" spans="1:15" x14ac:dyDescent="0.55000000000000004">
      <c r="A141" s="6" t="s">
        <v>45</v>
      </c>
      <c r="B141" s="6">
        <v>12.85</v>
      </c>
      <c r="C141" s="5">
        <f t="shared" si="9"/>
        <v>7.72</v>
      </c>
      <c r="D141" s="5">
        <f t="shared" si="10"/>
        <v>17.98</v>
      </c>
      <c r="E141" s="5">
        <v>12.85</v>
      </c>
      <c r="F141">
        <v>15</v>
      </c>
      <c r="G141" s="8">
        <v>15</v>
      </c>
      <c r="H141" s="8">
        <v>25</v>
      </c>
      <c r="I141" t="s">
        <v>89</v>
      </c>
      <c r="J141" t="s">
        <v>76</v>
      </c>
      <c r="K141" t="s">
        <v>86</v>
      </c>
      <c r="L141" s="5">
        <v>5.13</v>
      </c>
      <c r="N141" s="6"/>
      <c r="O141" s="5"/>
    </row>
    <row r="142" spans="1:15" x14ac:dyDescent="0.55000000000000004">
      <c r="A142" s="6" t="s">
        <v>48</v>
      </c>
      <c r="B142" s="6">
        <v>12.86</v>
      </c>
      <c r="C142" s="5">
        <f t="shared" si="9"/>
        <v>7.7299999999999995</v>
      </c>
      <c r="D142" s="5">
        <f t="shared" si="10"/>
        <v>17.989999999999998</v>
      </c>
      <c r="E142" s="5">
        <v>17.989999999999998</v>
      </c>
      <c r="F142">
        <v>16</v>
      </c>
      <c r="G142" s="8">
        <v>22</v>
      </c>
      <c r="H142" s="8">
        <v>12</v>
      </c>
      <c r="I142" t="s">
        <v>89</v>
      </c>
      <c r="J142" t="s">
        <v>76</v>
      </c>
      <c r="K142" t="s">
        <v>86</v>
      </c>
      <c r="L142" s="5">
        <v>5.13</v>
      </c>
      <c r="N142" s="6"/>
      <c r="O142" s="5"/>
    </row>
    <row r="143" spans="1:15" x14ac:dyDescent="0.55000000000000004">
      <c r="A143" s="6" t="s">
        <v>31</v>
      </c>
      <c r="B143" s="6">
        <v>13.93</v>
      </c>
      <c r="C143" s="5">
        <f t="shared" si="9"/>
        <v>8.8000000000000007</v>
      </c>
      <c r="D143" s="5">
        <f t="shared" si="10"/>
        <v>19.059999999999999</v>
      </c>
      <c r="E143" s="5">
        <v>13.93</v>
      </c>
      <c r="F143">
        <v>17</v>
      </c>
      <c r="G143" s="8">
        <v>16</v>
      </c>
      <c r="H143" s="8">
        <v>21</v>
      </c>
      <c r="I143" t="s">
        <v>89</v>
      </c>
      <c r="J143" t="s">
        <v>76</v>
      </c>
      <c r="K143" t="s">
        <v>86</v>
      </c>
      <c r="L143" s="5">
        <v>5.13</v>
      </c>
      <c r="N143" s="6"/>
      <c r="O143" s="5"/>
    </row>
    <row r="144" spans="1:15" x14ac:dyDescent="0.55000000000000004">
      <c r="A144" s="6" t="s">
        <v>47</v>
      </c>
      <c r="B144" s="6">
        <v>14.31</v>
      </c>
      <c r="C144" s="5">
        <f t="shared" si="9"/>
        <v>9.18</v>
      </c>
      <c r="D144" s="5">
        <f t="shared" si="10"/>
        <v>19.440000000000001</v>
      </c>
      <c r="E144" s="5">
        <v>14.31</v>
      </c>
      <c r="F144">
        <v>18</v>
      </c>
      <c r="G144" s="8">
        <v>17</v>
      </c>
      <c r="H144" s="8">
        <v>10</v>
      </c>
      <c r="I144" t="s">
        <v>89</v>
      </c>
      <c r="J144" t="s">
        <v>76</v>
      </c>
      <c r="K144" t="s">
        <v>86</v>
      </c>
      <c r="L144" s="5">
        <v>5.13</v>
      </c>
      <c r="N144" s="6"/>
      <c r="O144" s="5"/>
    </row>
    <row r="145" spans="1:15" x14ac:dyDescent="0.55000000000000004">
      <c r="A145" s="6" t="s">
        <v>29</v>
      </c>
      <c r="B145" s="6">
        <v>14.88</v>
      </c>
      <c r="C145" s="5">
        <f t="shared" si="9"/>
        <v>9.75</v>
      </c>
      <c r="D145" s="5">
        <f t="shared" si="10"/>
        <v>20.010000000000002</v>
      </c>
      <c r="E145" s="5">
        <v>20.010000000000002</v>
      </c>
      <c r="F145">
        <v>19</v>
      </c>
      <c r="G145" s="8">
        <v>23</v>
      </c>
      <c r="H145" s="8">
        <v>14</v>
      </c>
      <c r="I145" t="s">
        <v>89</v>
      </c>
      <c r="J145" t="s">
        <v>76</v>
      </c>
      <c r="K145" t="s">
        <v>86</v>
      </c>
      <c r="L145" s="5">
        <v>5.13</v>
      </c>
      <c r="N145" s="6"/>
      <c r="O145" s="5"/>
    </row>
    <row r="146" spans="1:15" x14ac:dyDescent="0.55000000000000004">
      <c r="A146" s="6" t="s">
        <v>49</v>
      </c>
      <c r="B146" s="6">
        <v>15.06</v>
      </c>
      <c r="C146" s="5">
        <f t="shared" si="9"/>
        <v>9.93</v>
      </c>
      <c r="D146" s="5">
        <f t="shared" si="10"/>
        <v>20.190000000000001</v>
      </c>
      <c r="E146" s="5">
        <v>15.06</v>
      </c>
      <c r="F146">
        <v>20</v>
      </c>
      <c r="G146" s="8">
        <v>18</v>
      </c>
      <c r="H146" s="8">
        <v>15</v>
      </c>
      <c r="I146" t="s">
        <v>89</v>
      </c>
      <c r="J146" t="s">
        <v>76</v>
      </c>
      <c r="K146" t="s">
        <v>86</v>
      </c>
      <c r="L146" s="5">
        <v>5.13</v>
      </c>
      <c r="N146" s="6"/>
      <c r="O146" s="5"/>
    </row>
    <row r="147" spans="1:15" x14ac:dyDescent="0.55000000000000004">
      <c r="A147" s="6" t="s">
        <v>42</v>
      </c>
      <c r="B147" s="6">
        <v>15.23</v>
      </c>
      <c r="C147" s="5">
        <f t="shared" si="9"/>
        <v>10.100000000000001</v>
      </c>
      <c r="D147" s="5">
        <f t="shared" si="10"/>
        <v>20.36</v>
      </c>
      <c r="E147" s="5">
        <v>20.6</v>
      </c>
      <c r="F147">
        <v>21</v>
      </c>
      <c r="G147" s="8">
        <v>24</v>
      </c>
      <c r="H147" s="8">
        <v>24</v>
      </c>
      <c r="I147" t="s">
        <v>89</v>
      </c>
      <c r="J147" t="s">
        <v>76</v>
      </c>
      <c r="K147" t="s">
        <v>86</v>
      </c>
      <c r="L147" s="5">
        <v>5.13</v>
      </c>
      <c r="N147" s="6"/>
      <c r="O147" s="5"/>
    </row>
    <row r="148" spans="1:15" x14ac:dyDescent="0.55000000000000004">
      <c r="A148" s="6" t="s">
        <v>46</v>
      </c>
      <c r="B148" s="6">
        <v>15.71</v>
      </c>
      <c r="C148" s="5">
        <f t="shared" si="9"/>
        <v>10.580000000000002</v>
      </c>
      <c r="D148" s="5">
        <f t="shared" si="10"/>
        <v>20.84</v>
      </c>
      <c r="E148" s="5">
        <v>15.71</v>
      </c>
      <c r="F148">
        <v>22</v>
      </c>
      <c r="G148" s="8">
        <v>19</v>
      </c>
      <c r="H148" s="8">
        <v>20</v>
      </c>
      <c r="I148" t="s">
        <v>89</v>
      </c>
      <c r="J148" t="s">
        <v>76</v>
      </c>
      <c r="K148" t="s">
        <v>86</v>
      </c>
      <c r="L148" s="5">
        <v>5.13</v>
      </c>
      <c r="N148" s="6"/>
      <c r="O148" s="5"/>
    </row>
    <row r="149" spans="1:15" x14ac:dyDescent="0.55000000000000004">
      <c r="A149" s="6" t="s">
        <v>26</v>
      </c>
      <c r="B149" s="6">
        <v>15.81</v>
      </c>
      <c r="C149" s="5">
        <f t="shared" si="9"/>
        <v>10.68</v>
      </c>
      <c r="D149" s="5">
        <f t="shared" si="10"/>
        <v>20.94</v>
      </c>
      <c r="E149" s="5">
        <v>10.68</v>
      </c>
      <c r="F149">
        <v>23</v>
      </c>
      <c r="G149" s="8">
        <v>10</v>
      </c>
      <c r="H149" s="8">
        <v>19</v>
      </c>
      <c r="I149" t="s">
        <v>89</v>
      </c>
      <c r="J149" t="s">
        <v>76</v>
      </c>
      <c r="K149" t="s">
        <v>86</v>
      </c>
      <c r="L149" s="5">
        <v>5.13</v>
      </c>
      <c r="N149" s="6"/>
      <c r="O149" s="5"/>
    </row>
    <row r="150" spans="1:15" x14ac:dyDescent="0.55000000000000004">
      <c r="A150" s="6" t="s">
        <v>32</v>
      </c>
      <c r="B150" s="6">
        <v>16.32</v>
      </c>
      <c r="C150" s="5">
        <f t="shared" si="9"/>
        <v>11.190000000000001</v>
      </c>
      <c r="D150" s="5">
        <f t="shared" si="10"/>
        <v>21.45</v>
      </c>
      <c r="E150" s="5">
        <v>16.32</v>
      </c>
      <c r="F150">
        <v>24</v>
      </c>
      <c r="G150" s="8">
        <v>20</v>
      </c>
      <c r="H150" s="8">
        <v>8</v>
      </c>
      <c r="I150" t="s">
        <v>89</v>
      </c>
      <c r="J150" t="s">
        <v>76</v>
      </c>
      <c r="K150" t="s">
        <v>86</v>
      </c>
      <c r="L150" s="5">
        <v>5.13</v>
      </c>
    </row>
    <row r="151" spans="1:15" x14ac:dyDescent="0.55000000000000004">
      <c r="A151" s="6" t="s">
        <v>43</v>
      </c>
      <c r="B151" s="6">
        <v>17.98</v>
      </c>
      <c r="C151" s="5">
        <f t="shared" si="9"/>
        <v>12.850000000000001</v>
      </c>
      <c r="D151" s="5">
        <f t="shared" si="10"/>
        <v>23.11</v>
      </c>
      <c r="E151" s="5">
        <v>23.11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86</v>
      </c>
      <c r="L151" s="5">
        <v>5.13</v>
      </c>
    </row>
    <row r="152" spans="1:15" x14ac:dyDescent="0.55000000000000004">
      <c r="A152" s="6" t="s">
        <v>39</v>
      </c>
      <c r="B152" s="6">
        <v>6.82</v>
      </c>
      <c r="C152" s="5">
        <f>B152-L152</f>
        <v>1.7600000000000007</v>
      </c>
      <c r="D152" s="5">
        <f>B152+L152</f>
        <v>11.879999999999999</v>
      </c>
      <c r="E152" s="5">
        <v>6.82</v>
      </c>
      <c r="F152">
        <v>1</v>
      </c>
      <c r="G152" s="8">
        <v>4</v>
      </c>
      <c r="H152" s="8">
        <v>7</v>
      </c>
      <c r="I152" t="s">
        <v>90</v>
      </c>
      <c r="J152" t="s">
        <v>85</v>
      </c>
      <c r="K152" t="s">
        <v>86</v>
      </c>
      <c r="L152" s="5">
        <v>5.0599999999999996</v>
      </c>
      <c r="N152" s="6"/>
      <c r="O152" s="5"/>
    </row>
    <row r="153" spans="1:15" x14ac:dyDescent="0.55000000000000004">
      <c r="A153" s="6" t="s">
        <v>38</v>
      </c>
      <c r="B153" s="6">
        <v>9.34</v>
      </c>
      <c r="C153" s="5">
        <f t="shared" ref="C153:C184" si="11">B153-L153</f>
        <v>4.28</v>
      </c>
      <c r="D153" s="5">
        <f t="shared" ref="D153:D184" si="12">B153+L153</f>
        <v>14.399999999999999</v>
      </c>
      <c r="E153" s="5">
        <v>4.28</v>
      </c>
      <c r="F153">
        <v>2</v>
      </c>
      <c r="G153" s="8">
        <v>1</v>
      </c>
      <c r="H153" s="8">
        <v>4</v>
      </c>
      <c r="I153" t="s">
        <v>90</v>
      </c>
      <c r="J153" t="s">
        <v>85</v>
      </c>
      <c r="K153" t="s">
        <v>86</v>
      </c>
      <c r="L153" s="5">
        <v>5.0599999999999996</v>
      </c>
      <c r="N153" s="6"/>
      <c r="O153" s="5"/>
    </row>
    <row r="154" spans="1:15" x14ac:dyDescent="0.55000000000000004">
      <c r="A154" s="6" t="s">
        <v>35</v>
      </c>
      <c r="B154" s="6">
        <v>9.44</v>
      </c>
      <c r="C154" s="5">
        <f t="shared" si="11"/>
        <v>4.38</v>
      </c>
      <c r="D154" s="5">
        <f t="shared" si="12"/>
        <v>14.5</v>
      </c>
      <c r="E154" s="5">
        <v>4.38</v>
      </c>
      <c r="F154">
        <v>3</v>
      </c>
      <c r="G154" s="8">
        <v>2</v>
      </c>
      <c r="H154" s="8">
        <v>2</v>
      </c>
      <c r="I154" t="s">
        <v>90</v>
      </c>
      <c r="J154" t="s">
        <v>85</v>
      </c>
      <c r="K154" t="s">
        <v>86</v>
      </c>
      <c r="L154" s="5">
        <v>5.0599999999999996</v>
      </c>
      <c r="N154" s="6"/>
      <c r="O154" s="5"/>
    </row>
    <row r="155" spans="1:15" x14ac:dyDescent="0.55000000000000004">
      <c r="A155" s="6" t="s">
        <v>45</v>
      </c>
      <c r="B155" s="6">
        <v>9.74</v>
      </c>
      <c r="C155" s="5">
        <f t="shared" si="11"/>
        <v>4.6800000000000006</v>
      </c>
      <c r="D155" s="5">
        <f t="shared" si="12"/>
        <v>14.8</v>
      </c>
      <c r="E155" s="5">
        <v>14.8</v>
      </c>
      <c r="F155">
        <v>4</v>
      </c>
      <c r="G155" s="8">
        <v>13</v>
      </c>
      <c r="H155" s="8">
        <v>30</v>
      </c>
      <c r="I155" t="s">
        <v>90</v>
      </c>
      <c r="J155" t="s">
        <v>85</v>
      </c>
      <c r="K155" t="s">
        <v>86</v>
      </c>
      <c r="L155" s="5">
        <v>5.0599999999999996</v>
      </c>
      <c r="N155" s="6"/>
      <c r="O155" s="5"/>
    </row>
    <row r="156" spans="1:15" x14ac:dyDescent="0.55000000000000004">
      <c r="A156" s="6" t="s">
        <v>27</v>
      </c>
      <c r="B156" s="6">
        <v>10</v>
      </c>
      <c r="C156" s="5">
        <f t="shared" si="11"/>
        <v>4.9400000000000004</v>
      </c>
      <c r="D156" s="5">
        <f t="shared" si="12"/>
        <v>15.059999999999999</v>
      </c>
      <c r="E156" s="5">
        <v>10</v>
      </c>
      <c r="F156">
        <v>5</v>
      </c>
      <c r="G156" s="8">
        <v>8</v>
      </c>
      <c r="H156" s="8">
        <v>15</v>
      </c>
      <c r="I156" t="s">
        <v>90</v>
      </c>
      <c r="J156" t="s">
        <v>85</v>
      </c>
      <c r="K156" t="s">
        <v>86</v>
      </c>
      <c r="L156" s="5">
        <v>5.0599999999999996</v>
      </c>
      <c r="N156" s="6"/>
      <c r="O156" s="5"/>
    </row>
    <row r="157" spans="1:15" x14ac:dyDescent="0.55000000000000004">
      <c r="A157" s="6" t="s">
        <v>36</v>
      </c>
      <c r="B157" s="6">
        <v>10.18</v>
      </c>
      <c r="C157" s="5">
        <f t="shared" si="11"/>
        <v>5.12</v>
      </c>
      <c r="D157" s="5">
        <f t="shared" si="12"/>
        <v>15.239999999999998</v>
      </c>
      <c r="E157" s="5">
        <v>5.12</v>
      </c>
      <c r="F157">
        <v>6</v>
      </c>
      <c r="G157" s="8">
        <v>3</v>
      </c>
      <c r="H157" s="8">
        <v>3</v>
      </c>
      <c r="I157" t="s">
        <v>90</v>
      </c>
      <c r="J157" t="s">
        <v>85</v>
      </c>
      <c r="K157" t="s">
        <v>86</v>
      </c>
      <c r="L157" s="5">
        <v>5.0599999999999996</v>
      </c>
      <c r="N157" s="6"/>
      <c r="O157" s="5"/>
    </row>
    <row r="158" spans="1:15" x14ac:dyDescent="0.55000000000000004">
      <c r="A158" s="6" t="s">
        <v>44</v>
      </c>
      <c r="B158" s="6">
        <v>12.37</v>
      </c>
      <c r="C158" s="5">
        <f t="shared" si="11"/>
        <v>7.31</v>
      </c>
      <c r="D158" s="5">
        <f t="shared" si="12"/>
        <v>17.43</v>
      </c>
      <c r="E158" s="5">
        <v>12.73</v>
      </c>
      <c r="F158">
        <v>7</v>
      </c>
      <c r="G158" s="8">
        <v>10</v>
      </c>
      <c r="H158" s="8">
        <v>1</v>
      </c>
      <c r="I158" t="s">
        <v>90</v>
      </c>
      <c r="J158" t="s">
        <v>85</v>
      </c>
      <c r="K158" t="s">
        <v>86</v>
      </c>
      <c r="L158" s="5">
        <v>5.0599999999999996</v>
      </c>
      <c r="N158" s="6"/>
      <c r="O158" s="5"/>
    </row>
    <row r="159" spans="1:15" x14ac:dyDescent="0.55000000000000004">
      <c r="A159" s="6" t="s">
        <v>29</v>
      </c>
      <c r="B159" s="6">
        <v>12.43</v>
      </c>
      <c r="C159" s="5">
        <f t="shared" si="11"/>
        <v>7.37</v>
      </c>
      <c r="D159" s="5">
        <f t="shared" si="12"/>
        <v>17.489999999999998</v>
      </c>
      <c r="E159" s="5">
        <v>7.37</v>
      </c>
      <c r="F159">
        <v>8</v>
      </c>
      <c r="G159" s="8">
        <v>5</v>
      </c>
      <c r="H159" s="8">
        <v>8</v>
      </c>
      <c r="I159" t="s">
        <v>90</v>
      </c>
      <c r="J159" t="s">
        <v>85</v>
      </c>
      <c r="K159" t="s">
        <v>86</v>
      </c>
      <c r="L159" s="5">
        <v>5.0599999999999996</v>
      </c>
      <c r="N159" s="6"/>
      <c r="O159" s="5"/>
    </row>
    <row r="160" spans="1:15" x14ac:dyDescent="0.55000000000000004">
      <c r="A160" s="6" t="s">
        <v>91</v>
      </c>
      <c r="B160" s="6">
        <v>13.72</v>
      </c>
      <c r="C160" s="5">
        <f t="shared" si="11"/>
        <v>8.66</v>
      </c>
      <c r="D160" s="5">
        <f t="shared" si="12"/>
        <v>18.78</v>
      </c>
      <c r="E160" s="5">
        <v>8.66</v>
      </c>
      <c r="F160">
        <v>9</v>
      </c>
      <c r="G160" s="8">
        <v>6</v>
      </c>
      <c r="H160" s="8">
        <v>12</v>
      </c>
      <c r="I160" t="s">
        <v>90</v>
      </c>
      <c r="J160" t="s">
        <v>85</v>
      </c>
      <c r="K160" t="s">
        <v>86</v>
      </c>
      <c r="L160" s="5">
        <v>5.0599999999999996</v>
      </c>
      <c r="N160" s="6"/>
      <c r="O160" s="5"/>
    </row>
    <row r="161" spans="1:15" x14ac:dyDescent="0.55000000000000004">
      <c r="A161" s="6" t="s">
        <v>48</v>
      </c>
      <c r="B161" s="6">
        <v>13.91</v>
      </c>
      <c r="C161" s="5">
        <f t="shared" si="11"/>
        <v>8.8500000000000014</v>
      </c>
      <c r="D161" s="5">
        <f t="shared" si="12"/>
        <v>18.97</v>
      </c>
      <c r="E161" s="5">
        <v>18.97</v>
      </c>
      <c r="F161">
        <v>10</v>
      </c>
      <c r="G161" s="8">
        <v>22</v>
      </c>
      <c r="H161" s="8">
        <v>14</v>
      </c>
      <c r="I161" t="s">
        <v>90</v>
      </c>
      <c r="J161" t="s">
        <v>85</v>
      </c>
      <c r="K161" t="s">
        <v>86</v>
      </c>
      <c r="L161" s="5">
        <v>5.0599999999999996</v>
      </c>
      <c r="N161" s="6"/>
      <c r="O161" s="5"/>
    </row>
    <row r="162" spans="1:15" x14ac:dyDescent="0.55000000000000004">
      <c r="A162" s="6" t="s">
        <v>37</v>
      </c>
      <c r="B162" s="6">
        <v>14.16</v>
      </c>
      <c r="C162" s="5">
        <f t="shared" si="11"/>
        <v>9.1000000000000014</v>
      </c>
      <c r="D162" s="5">
        <f t="shared" si="12"/>
        <v>19.22</v>
      </c>
      <c r="E162" s="5">
        <v>9.1</v>
      </c>
      <c r="F162">
        <v>11</v>
      </c>
      <c r="G162" s="8">
        <v>7</v>
      </c>
      <c r="H162" s="8">
        <v>28</v>
      </c>
      <c r="I162" t="s">
        <v>90</v>
      </c>
      <c r="J162" t="s">
        <v>85</v>
      </c>
      <c r="K162" t="s">
        <v>86</v>
      </c>
      <c r="L162" s="5">
        <v>5.0599999999999996</v>
      </c>
      <c r="N162" s="6"/>
      <c r="O162" s="5"/>
    </row>
    <row r="163" spans="1:15" x14ac:dyDescent="0.55000000000000004">
      <c r="A163" s="6" t="s">
        <v>34</v>
      </c>
      <c r="B163" s="6">
        <v>14.91</v>
      </c>
      <c r="C163" s="5">
        <f t="shared" si="11"/>
        <v>9.8500000000000014</v>
      </c>
      <c r="D163" s="5">
        <f t="shared" si="12"/>
        <v>19.97</v>
      </c>
      <c r="E163" s="5">
        <v>19.97</v>
      </c>
      <c r="F163">
        <v>12</v>
      </c>
      <c r="G163" s="8">
        <v>24</v>
      </c>
      <c r="H163" s="8">
        <v>17</v>
      </c>
      <c r="I163" t="s">
        <v>90</v>
      </c>
      <c r="J163" t="s">
        <v>85</v>
      </c>
      <c r="K163" t="s">
        <v>86</v>
      </c>
      <c r="L163" s="5">
        <v>5.0599999999999996</v>
      </c>
      <c r="N163" s="6"/>
      <c r="O163" s="5"/>
    </row>
    <row r="164" spans="1:15" x14ac:dyDescent="0.55000000000000004">
      <c r="A164" s="6" t="s">
        <v>42</v>
      </c>
      <c r="B164" s="6">
        <v>15.21</v>
      </c>
      <c r="C164" s="5">
        <f t="shared" si="11"/>
        <v>10.150000000000002</v>
      </c>
      <c r="D164" s="5">
        <f t="shared" si="12"/>
        <v>20.27</v>
      </c>
      <c r="E164" s="5">
        <v>10.15</v>
      </c>
      <c r="F164">
        <v>13</v>
      </c>
      <c r="G164" s="8">
        <v>9</v>
      </c>
      <c r="H164" s="8">
        <v>27</v>
      </c>
      <c r="I164" t="s">
        <v>90</v>
      </c>
      <c r="J164" t="s">
        <v>85</v>
      </c>
      <c r="K164" t="s">
        <v>86</v>
      </c>
      <c r="L164" s="5">
        <v>5.0599999999999996</v>
      </c>
      <c r="N164" s="6"/>
      <c r="O164" s="5"/>
    </row>
    <row r="165" spans="1:15" x14ac:dyDescent="0.55000000000000004">
      <c r="A165" s="6" t="s">
        <v>25</v>
      </c>
      <c r="B165" s="6">
        <v>15.31</v>
      </c>
      <c r="C165" s="5">
        <f t="shared" si="11"/>
        <v>10.25</v>
      </c>
      <c r="D165" s="5">
        <f t="shared" si="12"/>
        <v>20.37</v>
      </c>
      <c r="E165" s="5">
        <v>20.37</v>
      </c>
      <c r="F165">
        <v>14</v>
      </c>
      <c r="G165" s="8">
        <v>25</v>
      </c>
      <c r="H165" s="8">
        <v>5</v>
      </c>
      <c r="I165" t="s">
        <v>90</v>
      </c>
      <c r="J165" t="s">
        <v>85</v>
      </c>
      <c r="K165" t="s">
        <v>86</v>
      </c>
      <c r="L165" s="5">
        <v>5.0599999999999996</v>
      </c>
      <c r="N165" s="6"/>
      <c r="O165" s="5"/>
    </row>
    <row r="166" spans="1:15" x14ac:dyDescent="0.55000000000000004">
      <c r="A166" s="6" t="s">
        <v>33</v>
      </c>
      <c r="B166" s="6">
        <v>15.41</v>
      </c>
      <c r="C166" s="5">
        <f t="shared" si="11"/>
        <v>10.350000000000001</v>
      </c>
      <c r="D166" s="5">
        <f t="shared" si="12"/>
        <v>20.47</v>
      </c>
      <c r="E166" s="5">
        <v>15.41</v>
      </c>
      <c r="F166">
        <v>15</v>
      </c>
      <c r="G166" s="8">
        <v>14</v>
      </c>
      <c r="H166" s="8">
        <v>16</v>
      </c>
      <c r="I166" t="s">
        <v>90</v>
      </c>
      <c r="J166" t="s">
        <v>85</v>
      </c>
      <c r="K166" t="s">
        <v>86</v>
      </c>
      <c r="L166" s="5">
        <v>5.0599999999999996</v>
      </c>
      <c r="N166" s="6"/>
      <c r="O166" s="5"/>
    </row>
    <row r="167" spans="1:15" x14ac:dyDescent="0.55000000000000004">
      <c r="A167" s="6" t="s">
        <v>40</v>
      </c>
      <c r="B167" s="6">
        <v>15.89</v>
      </c>
      <c r="C167" s="5">
        <f t="shared" si="11"/>
        <v>10.830000000000002</v>
      </c>
      <c r="D167" s="5">
        <f t="shared" si="12"/>
        <v>20.95</v>
      </c>
      <c r="E167" s="5">
        <v>15.89</v>
      </c>
      <c r="F167">
        <v>16</v>
      </c>
      <c r="G167" s="8">
        <v>15</v>
      </c>
      <c r="H167" s="8">
        <v>29</v>
      </c>
      <c r="I167" t="s">
        <v>90</v>
      </c>
      <c r="J167" t="s">
        <v>85</v>
      </c>
      <c r="K167" t="s">
        <v>86</v>
      </c>
      <c r="L167" s="5">
        <v>5.0599999999999996</v>
      </c>
      <c r="N167" s="6"/>
      <c r="O167" s="5"/>
    </row>
    <row r="168" spans="1:15" x14ac:dyDescent="0.55000000000000004">
      <c r="A168" s="6" t="s">
        <v>49</v>
      </c>
      <c r="B168" s="6">
        <v>16.239999999999998</v>
      </c>
      <c r="C168" s="5">
        <f t="shared" si="11"/>
        <v>11.18</v>
      </c>
      <c r="D168" s="5">
        <f t="shared" si="12"/>
        <v>21.299999999999997</v>
      </c>
      <c r="E168" s="5">
        <v>16.239999999999998</v>
      </c>
      <c r="F168">
        <v>17</v>
      </c>
      <c r="G168" s="8">
        <v>16</v>
      </c>
      <c r="H168" s="8">
        <v>6</v>
      </c>
      <c r="I168" t="s">
        <v>90</v>
      </c>
      <c r="J168" t="s">
        <v>85</v>
      </c>
      <c r="K168" t="s">
        <v>86</v>
      </c>
      <c r="L168" s="5">
        <v>5.0599999999999996</v>
      </c>
      <c r="N168" s="6"/>
      <c r="O168" s="5"/>
    </row>
    <row r="169" spans="1:15" x14ac:dyDescent="0.55000000000000004">
      <c r="A169" s="6" t="s">
        <v>92</v>
      </c>
      <c r="B169" s="6">
        <v>16.72</v>
      </c>
      <c r="C169" s="5">
        <f t="shared" si="11"/>
        <v>11.66</v>
      </c>
      <c r="D169" s="5">
        <f t="shared" si="12"/>
        <v>21.779999999999998</v>
      </c>
      <c r="E169" s="5">
        <v>16.72</v>
      </c>
      <c r="F169">
        <v>18</v>
      </c>
      <c r="G169" s="8">
        <v>17</v>
      </c>
      <c r="H169" s="8">
        <v>25</v>
      </c>
      <c r="I169" t="s">
        <v>90</v>
      </c>
      <c r="J169" t="s">
        <v>85</v>
      </c>
      <c r="K169" t="s">
        <v>86</v>
      </c>
      <c r="L169" s="5">
        <v>5.0599999999999996</v>
      </c>
      <c r="N169" s="6"/>
      <c r="O169" s="5"/>
    </row>
    <row r="170" spans="1:15" x14ac:dyDescent="0.55000000000000004">
      <c r="A170" s="6" t="s">
        <v>28</v>
      </c>
      <c r="B170" s="6">
        <v>17.309999999999999</v>
      </c>
      <c r="C170" s="5">
        <f t="shared" si="11"/>
        <v>12.25</v>
      </c>
      <c r="D170" s="5">
        <f t="shared" si="12"/>
        <v>22.369999999999997</v>
      </c>
      <c r="E170" s="5">
        <v>17.309999999999999</v>
      </c>
      <c r="F170">
        <v>19</v>
      </c>
      <c r="G170" s="8">
        <v>20</v>
      </c>
      <c r="H170" s="8">
        <v>13</v>
      </c>
      <c r="I170" t="s">
        <v>90</v>
      </c>
      <c r="J170" t="s">
        <v>85</v>
      </c>
      <c r="K170" t="s">
        <v>86</v>
      </c>
      <c r="L170" s="5">
        <v>5.0599999999999996</v>
      </c>
      <c r="N170" s="6"/>
      <c r="O170" s="5"/>
    </row>
    <row r="171" spans="1:15" x14ac:dyDescent="0.55000000000000004">
      <c r="A171" s="6" t="s">
        <v>96</v>
      </c>
      <c r="B171" s="6">
        <v>17.649999999999999</v>
      </c>
      <c r="C171" s="5">
        <f t="shared" si="11"/>
        <v>12.59</v>
      </c>
      <c r="D171" s="5">
        <f t="shared" si="12"/>
        <v>22.709999999999997</v>
      </c>
      <c r="E171" s="5">
        <v>17.649999999999999</v>
      </c>
      <c r="F171">
        <v>20</v>
      </c>
      <c r="G171" s="8">
        <v>21</v>
      </c>
      <c r="H171" s="8">
        <v>31</v>
      </c>
      <c r="I171" t="s">
        <v>90</v>
      </c>
      <c r="J171" t="s">
        <v>85</v>
      </c>
      <c r="K171" t="s">
        <v>86</v>
      </c>
      <c r="L171" s="5">
        <v>5.0599999999999996</v>
      </c>
      <c r="N171" s="6"/>
      <c r="O171" s="5"/>
    </row>
    <row r="172" spans="1:15" x14ac:dyDescent="0.55000000000000004">
      <c r="A172" s="6" t="s">
        <v>94</v>
      </c>
      <c r="B172" s="6">
        <v>17.8</v>
      </c>
      <c r="C172" s="5">
        <f t="shared" si="11"/>
        <v>12.740000000000002</v>
      </c>
      <c r="D172" s="5">
        <f t="shared" si="12"/>
        <v>22.86</v>
      </c>
      <c r="E172" s="5">
        <v>12.74</v>
      </c>
      <c r="F172">
        <v>21</v>
      </c>
      <c r="G172" s="8">
        <v>11</v>
      </c>
      <c r="H172" s="8">
        <v>10</v>
      </c>
      <c r="I172" t="s">
        <v>90</v>
      </c>
      <c r="J172" t="s">
        <v>85</v>
      </c>
      <c r="K172" t="s">
        <v>86</v>
      </c>
      <c r="L172" s="5">
        <v>5.0599999999999996</v>
      </c>
      <c r="N172" s="6"/>
      <c r="O172" s="5"/>
    </row>
    <row r="173" spans="1:15" x14ac:dyDescent="0.55000000000000004">
      <c r="A173" s="6" t="s">
        <v>93</v>
      </c>
      <c r="B173" s="6">
        <v>18.25</v>
      </c>
      <c r="C173" s="5">
        <f t="shared" si="11"/>
        <v>13.190000000000001</v>
      </c>
      <c r="D173" s="5">
        <f t="shared" si="12"/>
        <v>23.31</v>
      </c>
      <c r="E173" s="5">
        <v>13.19</v>
      </c>
      <c r="F173">
        <v>22</v>
      </c>
      <c r="G173" s="8">
        <v>12</v>
      </c>
      <c r="H173" s="8">
        <v>32</v>
      </c>
      <c r="I173" t="s">
        <v>90</v>
      </c>
      <c r="J173" t="s">
        <v>85</v>
      </c>
      <c r="K173" t="s">
        <v>86</v>
      </c>
      <c r="L173" s="5">
        <v>5.0599999999999996</v>
      </c>
      <c r="N173" s="6"/>
      <c r="O173" s="5"/>
    </row>
    <row r="174" spans="1:15" x14ac:dyDescent="0.55000000000000004">
      <c r="A174" s="6" t="s">
        <v>41</v>
      </c>
      <c r="B174" s="6">
        <v>19.34</v>
      </c>
      <c r="C174" s="5">
        <f t="shared" si="11"/>
        <v>14.280000000000001</v>
      </c>
      <c r="D174" s="5">
        <f t="shared" si="12"/>
        <v>24.4</v>
      </c>
      <c r="E174" s="5">
        <v>24.4</v>
      </c>
      <c r="F174">
        <v>23</v>
      </c>
      <c r="G174" s="8">
        <v>27</v>
      </c>
      <c r="H174" s="8">
        <v>20</v>
      </c>
      <c r="I174" t="s">
        <v>90</v>
      </c>
      <c r="J174" t="s">
        <v>85</v>
      </c>
      <c r="K174" t="s">
        <v>86</v>
      </c>
      <c r="L174" s="5">
        <v>5.0599999999999996</v>
      </c>
      <c r="N174" s="6"/>
      <c r="O174" s="5"/>
    </row>
    <row r="175" spans="1:15" x14ac:dyDescent="0.55000000000000004">
      <c r="A175" s="6" t="s">
        <v>47</v>
      </c>
      <c r="B175" s="6">
        <v>19.64</v>
      </c>
      <c r="C175" s="5">
        <f t="shared" si="11"/>
        <v>14.580000000000002</v>
      </c>
      <c r="D175" s="5">
        <f t="shared" si="12"/>
        <v>24.7</v>
      </c>
      <c r="E175" s="5">
        <v>19.64</v>
      </c>
      <c r="F175">
        <v>24</v>
      </c>
      <c r="G175" s="8">
        <v>23</v>
      </c>
      <c r="H175" s="8">
        <v>11</v>
      </c>
      <c r="I175" t="s">
        <v>90</v>
      </c>
      <c r="J175" t="s">
        <v>85</v>
      </c>
      <c r="K175" t="s">
        <v>86</v>
      </c>
      <c r="L175" s="5">
        <v>5.0599999999999996</v>
      </c>
      <c r="N175" s="6"/>
      <c r="O175" s="5"/>
    </row>
    <row r="176" spans="1:15" x14ac:dyDescent="0.55000000000000004">
      <c r="A176" s="6" t="s">
        <v>95</v>
      </c>
      <c r="B176" s="6">
        <v>20.51</v>
      </c>
      <c r="C176" s="5">
        <f t="shared" si="11"/>
        <v>15.450000000000003</v>
      </c>
      <c r="D176" s="5">
        <f t="shared" si="12"/>
        <v>25.57</v>
      </c>
      <c r="E176" s="5">
        <v>25.57</v>
      </c>
      <c r="F176">
        <v>25</v>
      </c>
      <c r="G176" s="8">
        <v>28</v>
      </c>
      <c r="H176" s="8">
        <v>24</v>
      </c>
      <c r="I176" t="s">
        <v>90</v>
      </c>
      <c r="J176" t="s">
        <v>85</v>
      </c>
      <c r="K176" t="s">
        <v>86</v>
      </c>
      <c r="L176" s="5">
        <v>5.0599999999999996</v>
      </c>
      <c r="N176" s="6"/>
      <c r="O176" s="5"/>
    </row>
    <row r="177" spans="1:15" x14ac:dyDescent="0.55000000000000004">
      <c r="A177" s="6" t="s">
        <v>30</v>
      </c>
      <c r="B177" s="6">
        <v>21.41</v>
      </c>
      <c r="C177" s="5">
        <f t="shared" si="11"/>
        <v>16.350000000000001</v>
      </c>
      <c r="D177" s="5">
        <f t="shared" si="12"/>
        <v>26.47</v>
      </c>
      <c r="E177" s="5">
        <v>21.41</v>
      </c>
      <c r="F177">
        <v>26</v>
      </c>
      <c r="G177" s="8">
        <v>26</v>
      </c>
      <c r="H177" s="8">
        <v>21</v>
      </c>
      <c r="I177" t="s">
        <v>90</v>
      </c>
      <c r="J177" t="s">
        <v>85</v>
      </c>
      <c r="K177" t="s">
        <v>86</v>
      </c>
      <c r="L177" s="5">
        <v>5.0599999999999996</v>
      </c>
      <c r="N177" s="6"/>
      <c r="O177" s="5"/>
    </row>
    <row r="178" spans="1:15" x14ac:dyDescent="0.55000000000000004">
      <c r="A178" s="6" t="s">
        <v>97</v>
      </c>
      <c r="B178" s="6">
        <v>21.94</v>
      </c>
      <c r="C178" s="5">
        <f t="shared" si="11"/>
        <v>16.880000000000003</v>
      </c>
      <c r="D178" s="5">
        <f t="shared" si="12"/>
        <v>27</v>
      </c>
      <c r="E178" s="5">
        <v>16.88</v>
      </c>
      <c r="F178">
        <v>27</v>
      </c>
      <c r="G178" s="8">
        <v>18</v>
      </c>
      <c r="H178" s="8">
        <v>22</v>
      </c>
      <c r="I178" t="s">
        <v>90</v>
      </c>
      <c r="J178" t="s">
        <v>85</v>
      </c>
      <c r="K178" t="s">
        <v>86</v>
      </c>
      <c r="L178" s="5">
        <v>5.0599999999999996</v>
      </c>
      <c r="N178" s="6"/>
      <c r="O178" s="5"/>
    </row>
    <row r="179" spans="1:15" x14ac:dyDescent="0.55000000000000004">
      <c r="A179" s="6" t="s">
        <v>31</v>
      </c>
      <c r="B179" s="6">
        <v>22.11</v>
      </c>
      <c r="C179" s="5">
        <f t="shared" si="11"/>
        <v>17.05</v>
      </c>
      <c r="D179" s="5">
        <f t="shared" si="12"/>
        <v>27.169999999999998</v>
      </c>
      <c r="E179" s="5">
        <v>17.05</v>
      </c>
      <c r="F179">
        <v>28</v>
      </c>
      <c r="G179" s="8">
        <v>19</v>
      </c>
      <c r="H179" s="8">
        <v>9</v>
      </c>
      <c r="I179" t="s">
        <v>90</v>
      </c>
      <c r="J179" t="s">
        <v>85</v>
      </c>
      <c r="K179" t="s">
        <v>86</v>
      </c>
      <c r="L179" s="5">
        <v>5.0599999999999996</v>
      </c>
      <c r="N179" s="6"/>
      <c r="O179" s="5"/>
    </row>
    <row r="180" spans="1:15" x14ac:dyDescent="0.55000000000000004">
      <c r="A180" s="6" t="s">
        <v>26</v>
      </c>
      <c r="B180" s="6">
        <v>22.36</v>
      </c>
      <c r="C180" s="5">
        <f t="shared" si="11"/>
        <v>17.3</v>
      </c>
      <c r="D180" s="5">
        <f t="shared" si="12"/>
        <v>27.419999999999998</v>
      </c>
      <c r="E180" s="5">
        <v>27.42</v>
      </c>
      <c r="F180">
        <v>29</v>
      </c>
      <c r="G180" s="8">
        <v>29</v>
      </c>
      <c r="H180" s="8">
        <v>26</v>
      </c>
      <c r="I180" t="s">
        <v>90</v>
      </c>
      <c r="J180" t="s">
        <v>85</v>
      </c>
      <c r="K180" t="s">
        <v>86</v>
      </c>
      <c r="L180" s="5">
        <v>5.0599999999999996</v>
      </c>
      <c r="N180" s="6"/>
      <c r="O180" s="5"/>
    </row>
    <row r="181" spans="1:15" x14ac:dyDescent="0.55000000000000004">
      <c r="A181" s="6" t="s">
        <v>98</v>
      </c>
      <c r="B181" s="6">
        <v>22.73</v>
      </c>
      <c r="C181" s="5">
        <f t="shared" si="11"/>
        <v>17.670000000000002</v>
      </c>
      <c r="D181" s="5">
        <f t="shared" si="12"/>
        <v>27.79</v>
      </c>
      <c r="E181" s="5">
        <v>27.79</v>
      </c>
      <c r="F181">
        <v>30</v>
      </c>
      <c r="G181" s="8">
        <v>30</v>
      </c>
      <c r="H181" s="8">
        <v>33</v>
      </c>
      <c r="I181" t="s">
        <v>90</v>
      </c>
      <c r="J181" t="s">
        <v>85</v>
      </c>
      <c r="K181" t="s">
        <v>86</v>
      </c>
      <c r="L181" s="5">
        <v>5.0599999999999996</v>
      </c>
      <c r="N181" s="6"/>
      <c r="O181" s="5"/>
    </row>
    <row r="182" spans="1:15" x14ac:dyDescent="0.55000000000000004">
      <c r="A182" s="6" t="s">
        <v>32</v>
      </c>
      <c r="B182" s="6">
        <v>22.83</v>
      </c>
      <c r="C182" s="5">
        <f t="shared" si="11"/>
        <v>17.77</v>
      </c>
      <c r="D182" s="5">
        <f t="shared" si="12"/>
        <v>27.889999999999997</v>
      </c>
      <c r="E182" s="5">
        <v>27.89</v>
      </c>
      <c r="F182">
        <v>31</v>
      </c>
      <c r="G182" s="8">
        <v>31</v>
      </c>
      <c r="H182" s="8">
        <v>19</v>
      </c>
      <c r="I182" t="s">
        <v>90</v>
      </c>
      <c r="J182" t="s">
        <v>85</v>
      </c>
      <c r="K182" t="s">
        <v>86</v>
      </c>
      <c r="L182" s="5">
        <v>5.0599999999999996</v>
      </c>
      <c r="N182" s="6"/>
      <c r="O182" s="5"/>
    </row>
    <row r="183" spans="1:15" x14ac:dyDescent="0.55000000000000004">
      <c r="A183" s="6" t="s">
        <v>46</v>
      </c>
      <c r="B183" s="6">
        <v>23.69</v>
      </c>
      <c r="C183" s="5">
        <f t="shared" si="11"/>
        <v>18.630000000000003</v>
      </c>
      <c r="D183" s="5">
        <f t="shared" si="12"/>
        <v>28.75</v>
      </c>
      <c r="E183" s="5">
        <v>28.75</v>
      </c>
      <c r="F183">
        <v>32</v>
      </c>
      <c r="G183" s="8">
        <v>32</v>
      </c>
      <c r="H183" s="8">
        <v>18</v>
      </c>
      <c r="I183" t="s">
        <v>90</v>
      </c>
      <c r="J183" t="s">
        <v>85</v>
      </c>
      <c r="K183" t="s">
        <v>86</v>
      </c>
      <c r="L183" s="5">
        <v>5.0599999999999996</v>
      </c>
      <c r="N183" s="6"/>
      <c r="O183" s="5"/>
    </row>
    <row r="184" spans="1:15" x14ac:dyDescent="0.55000000000000004">
      <c r="A184" s="6" t="s">
        <v>43</v>
      </c>
      <c r="B184" s="6">
        <v>24.12</v>
      </c>
      <c r="C184" s="5">
        <f t="shared" si="11"/>
        <v>19.060000000000002</v>
      </c>
      <c r="D184" s="5">
        <f t="shared" si="12"/>
        <v>29.18</v>
      </c>
      <c r="E184" s="5">
        <v>29.18</v>
      </c>
      <c r="F184">
        <v>33</v>
      </c>
      <c r="G184" s="8">
        <v>33</v>
      </c>
      <c r="H184" s="8">
        <v>23</v>
      </c>
      <c r="I184" t="s">
        <v>90</v>
      </c>
      <c r="J184" t="s">
        <v>85</v>
      </c>
      <c r="K184" t="s">
        <v>86</v>
      </c>
      <c r="L184" s="5">
        <v>5.0599999999999996</v>
      </c>
      <c r="N184" s="6"/>
      <c r="O184" s="5"/>
    </row>
    <row r="185" spans="1:15" x14ac:dyDescent="0.55000000000000004">
      <c r="A185" s="6" t="s">
        <v>39</v>
      </c>
      <c r="B185" s="6">
        <v>6.13</v>
      </c>
      <c r="C185" s="5">
        <f>B185-L185</f>
        <v>1.04</v>
      </c>
      <c r="D185" s="5">
        <f>B185+L185</f>
        <v>11.219999999999999</v>
      </c>
      <c r="E185" s="5">
        <v>1.04</v>
      </c>
      <c r="F185">
        <v>1</v>
      </c>
      <c r="G185" s="8">
        <v>1</v>
      </c>
      <c r="H185" s="8">
        <v>1</v>
      </c>
      <c r="I185" t="s">
        <v>107</v>
      </c>
      <c r="J185" t="s">
        <v>82</v>
      </c>
      <c r="K185" t="s">
        <v>86</v>
      </c>
      <c r="L185" s="5">
        <v>5.09</v>
      </c>
      <c r="N185" s="6"/>
      <c r="O185" s="5"/>
    </row>
    <row r="186" spans="1:15" x14ac:dyDescent="0.55000000000000004">
      <c r="A186" s="6" t="s">
        <v>27</v>
      </c>
      <c r="B186" s="6">
        <v>7.16</v>
      </c>
      <c r="C186" s="5">
        <f t="shared" ref="C186:C209" si="13">B186-L186</f>
        <v>2.0700000000000003</v>
      </c>
      <c r="D186" s="5">
        <f t="shared" ref="D186:D209" si="14">B186+L186</f>
        <v>12.25</v>
      </c>
      <c r="E186" s="5">
        <v>7.16</v>
      </c>
      <c r="F186">
        <v>2</v>
      </c>
      <c r="G186" s="8">
        <v>5</v>
      </c>
      <c r="H186" s="8">
        <v>24</v>
      </c>
      <c r="I186" t="s">
        <v>107</v>
      </c>
      <c r="J186" t="s">
        <v>82</v>
      </c>
      <c r="K186" t="s">
        <v>86</v>
      </c>
      <c r="L186" s="5">
        <v>5.09</v>
      </c>
      <c r="N186" s="6"/>
      <c r="O186" s="5"/>
    </row>
    <row r="187" spans="1:15" x14ac:dyDescent="0.55000000000000004">
      <c r="A187" s="6" t="s">
        <v>33</v>
      </c>
      <c r="B187" s="6">
        <v>7.98</v>
      </c>
      <c r="C187" s="5">
        <f t="shared" si="13"/>
        <v>2.8900000000000006</v>
      </c>
      <c r="D187" s="5">
        <f t="shared" si="14"/>
        <v>13.07</v>
      </c>
      <c r="E187" s="5">
        <v>2.89</v>
      </c>
      <c r="F187">
        <v>3</v>
      </c>
      <c r="G187" s="8">
        <v>2</v>
      </c>
      <c r="H187" s="8">
        <v>2</v>
      </c>
      <c r="I187" t="s">
        <v>107</v>
      </c>
      <c r="J187" t="s">
        <v>82</v>
      </c>
      <c r="K187" t="s">
        <v>86</v>
      </c>
      <c r="L187" s="5">
        <v>5.09</v>
      </c>
      <c r="N187" s="6"/>
      <c r="O187" s="5"/>
    </row>
    <row r="188" spans="1:15" x14ac:dyDescent="0.55000000000000004">
      <c r="A188" s="6" t="s">
        <v>40</v>
      </c>
      <c r="B188" s="6">
        <v>8.35</v>
      </c>
      <c r="C188" s="5">
        <f t="shared" si="13"/>
        <v>3.26</v>
      </c>
      <c r="D188" s="5">
        <f t="shared" si="14"/>
        <v>13.44</v>
      </c>
      <c r="E188" s="5">
        <v>8.35</v>
      </c>
      <c r="F188">
        <v>4</v>
      </c>
      <c r="G188" s="8">
        <v>8</v>
      </c>
      <c r="H188" s="8">
        <v>22</v>
      </c>
      <c r="I188" t="s">
        <v>107</v>
      </c>
      <c r="J188" t="s">
        <v>82</v>
      </c>
      <c r="K188" t="s">
        <v>86</v>
      </c>
      <c r="L188" s="5">
        <v>5.09</v>
      </c>
      <c r="N188" s="6"/>
      <c r="O188" s="5"/>
    </row>
    <row r="189" spans="1:15" x14ac:dyDescent="0.55000000000000004">
      <c r="A189" s="6" t="s">
        <v>34</v>
      </c>
      <c r="B189" s="6">
        <v>8.4</v>
      </c>
      <c r="C189" s="5">
        <f t="shared" si="13"/>
        <v>3.3100000000000005</v>
      </c>
      <c r="D189" s="5">
        <f t="shared" si="14"/>
        <v>13.49</v>
      </c>
      <c r="E189" s="5">
        <v>8.4</v>
      </c>
      <c r="F189">
        <v>5</v>
      </c>
      <c r="G189" s="8">
        <v>9</v>
      </c>
      <c r="H189" s="8">
        <v>5</v>
      </c>
      <c r="I189" t="s">
        <v>107</v>
      </c>
      <c r="J189" t="s">
        <v>82</v>
      </c>
      <c r="K189" t="s">
        <v>86</v>
      </c>
      <c r="L189" s="5">
        <v>5.09</v>
      </c>
      <c r="N189" s="6"/>
      <c r="O189" s="5"/>
    </row>
    <row r="190" spans="1:15" x14ac:dyDescent="0.55000000000000004">
      <c r="A190" s="6" t="s">
        <v>36</v>
      </c>
      <c r="B190" s="6">
        <v>8.74</v>
      </c>
      <c r="C190" s="5">
        <f t="shared" si="13"/>
        <v>3.6500000000000004</v>
      </c>
      <c r="D190" s="5">
        <f t="shared" si="14"/>
        <v>13.83</v>
      </c>
      <c r="E190" s="5">
        <v>8.74</v>
      </c>
      <c r="F190">
        <v>6</v>
      </c>
      <c r="G190" s="8">
        <v>10</v>
      </c>
      <c r="H190" s="8">
        <v>19</v>
      </c>
      <c r="I190" t="s">
        <v>107</v>
      </c>
      <c r="J190" t="s">
        <v>82</v>
      </c>
      <c r="K190" t="s">
        <v>86</v>
      </c>
      <c r="L190" s="5">
        <v>5.09</v>
      </c>
      <c r="N190" s="6"/>
      <c r="O190" s="5"/>
    </row>
    <row r="191" spans="1:15" x14ac:dyDescent="0.55000000000000004">
      <c r="A191" s="6" t="s">
        <v>38</v>
      </c>
      <c r="B191" s="6">
        <v>9.7899999999999991</v>
      </c>
      <c r="C191" s="5">
        <f t="shared" si="13"/>
        <v>4.6999999999999993</v>
      </c>
      <c r="D191" s="5">
        <f t="shared" si="14"/>
        <v>14.879999999999999</v>
      </c>
      <c r="E191" s="5">
        <v>4.7</v>
      </c>
      <c r="F191">
        <v>7</v>
      </c>
      <c r="G191" s="8">
        <v>3</v>
      </c>
      <c r="H191" s="8">
        <v>4</v>
      </c>
      <c r="I191" t="s">
        <v>107</v>
      </c>
      <c r="J191" t="s">
        <v>82</v>
      </c>
      <c r="K191" t="s">
        <v>86</v>
      </c>
      <c r="L191" s="5">
        <v>5.09</v>
      </c>
      <c r="N191" s="6"/>
      <c r="O191" s="5"/>
    </row>
    <row r="192" spans="1:15" x14ac:dyDescent="0.55000000000000004">
      <c r="A192" s="6" t="s">
        <v>25</v>
      </c>
      <c r="B192" s="6">
        <v>10.220000000000001</v>
      </c>
      <c r="C192" s="5">
        <f t="shared" si="13"/>
        <v>5.1300000000000008</v>
      </c>
      <c r="D192" s="5">
        <f t="shared" si="14"/>
        <v>15.31</v>
      </c>
      <c r="E192" s="5">
        <v>10.220000000000001</v>
      </c>
      <c r="F192">
        <v>8</v>
      </c>
      <c r="G192" s="8">
        <v>11</v>
      </c>
      <c r="H192" s="8">
        <v>11</v>
      </c>
      <c r="I192" t="s">
        <v>107</v>
      </c>
      <c r="J192" t="s">
        <v>82</v>
      </c>
      <c r="K192" t="s">
        <v>86</v>
      </c>
      <c r="L192" s="5">
        <v>5.09</v>
      </c>
      <c r="N192" s="6"/>
      <c r="O192" s="5"/>
    </row>
    <row r="193" spans="1:15" x14ac:dyDescent="0.55000000000000004">
      <c r="A193" s="6" t="s">
        <v>28</v>
      </c>
      <c r="B193" s="6">
        <v>11.92</v>
      </c>
      <c r="C193" s="5">
        <f t="shared" si="13"/>
        <v>6.83</v>
      </c>
      <c r="D193" s="5">
        <f t="shared" si="14"/>
        <v>17.009999999999998</v>
      </c>
      <c r="E193" s="5">
        <v>17.010000000000002</v>
      </c>
      <c r="F193">
        <v>9</v>
      </c>
      <c r="G193" s="8">
        <v>17</v>
      </c>
      <c r="H193" s="8">
        <v>8</v>
      </c>
      <c r="I193" t="s">
        <v>107</v>
      </c>
      <c r="J193" t="s">
        <v>82</v>
      </c>
      <c r="K193" t="s">
        <v>86</v>
      </c>
      <c r="L193" s="5">
        <v>5.09</v>
      </c>
      <c r="N193" s="6"/>
      <c r="O193" s="5"/>
    </row>
    <row r="194" spans="1:15" x14ac:dyDescent="0.55000000000000004">
      <c r="A194" s="6" t="s">
        <v>48</v>
      </c>
      <c r="B194" s="6">
        <v>11.93</v>
      </c>
      <c r="C194" s="5">
        <f t="shared" si="13"/>
        <v>6.84</v>
      </c>
      <c r="D194" s="5">
        <f t="shared" si="14"/>
        <v>17.02</v>
      </c>
      <c r="E194" s="5">
        <v>6.84</v>
      </c>
      <c r="F194">
        <v>10</v>
      </c>
      <c r="G194" s="8">
        <v>4</v>
      </c>
      <c r="H194" s="8">
        <v>9</v>
      </c>
      <c r="I194" t="s">
        <v>107</v>
      </c>
      <c r="J194" t="s">
        <v>82</v>
      </c>
      <c r="K194" t="s">
        <v>86</v>
      </c>
      <c r="L194" s="5">
        <v>5.09</v>
      </c>
      <c r="N194" s="6"/>
      <c r="O194" s="5"/>
    </row>
    <row r="195" spans="1:15" x14ac:dyDescent="0.55000000000000004">
      <c r="A195" s="6" t="s">
        <v>44</v>
      </c>
      <c r="B195" s="6">
        <v>12.5</v>
      </c>
      <c r="C195" s="5">
        <f t="shared" si="13"/>
        <v>7.41</v>
      </c>
      <c r="D195" s="5">
        <f t="shared" si="14"/>
        <v>17.59</v>
      </c>
      <c r="E195" s="5">
        <v>7.41</v>
      </c>
      <c r="F195">
        <v>11</v>
      </c>
      <c r="G195" s="8">
        <v>6</v>
      </c>
      <c r="H195" s="8">
        <v>6</v>
      </c>
      <c r="I195" t="s">
        <v>107</v>
      </c>
      <c r="J195" t="s">
        <v>82</v>
      </c>
      <c r="K195" t="s">
        <v>86</v>
      </c>
      <c r="L195" s="5">
        <v>5.09</v>
      </c>
      <c r="N195" s="6"/>
      <c r="O195" s="5"/>
    </row>
    <row r="196" spans="1:15" x14ac:dyDescent="0.55000000000000004">
      <c r="A196" s="6" t="s">
        <v>41</v>
      </c>
      <c r="B196" s="6">
        <v>12.53</v>
      </c>
      <c r="C196" s="5">
        <f t="shared" si="13"/>
        <v>7.4399999999999995</v>
      </c>
      <c r="D196" s="5">
        <f t="shared" si="14"/>
        <v>17.619999999999997</v>
      </c>
      <c r="E196" s="5">
        <v>12.53</v>
      </c>
      <c r="F196">
        <v>12</v>
      </c>
      <c r="G196" s="8">
        <v>12</v>
      </c>
      <c r="H196" s="8">
        <v>3</v>
      </c>
      <c r="I196" t="s">
        <v>107</v>
      </c>
      <c r="J196" t="s">
        <v>82</v>
      </c>
      <c r="K196" t="s">
        <v>86</v>
      </c>
      <c r="L196" s="5">
        <v>5.09</v>
      </c>
      <c r="N196" s="6"/>
      <c r="O196" s="5"/>
    </row>
    <row r="197" spans="1:15" x14ac:dyDescent="0.55000000000000004">
      <c r="A197" s="6" t="s">
        <v>35</v>
      </c>
      <c r="B197" s="6">
        <v>12.98</v>
      </c>
      <c r="C197" s="5">
        <f t="shared" si="13"/>
        <v>7.8900000000000006</v>
      </c>
      <c r="D197" s="5">
        <f t="shared" si="14"/>
        <v>18.07</v>
      </c>
      <c r="E197" s="5">
        <v>7.89</v>
      </c>
      <c r="F197">
        <v>13</v>
      </c>
      <c r="G197" s="8">
        <v>7</v>
      </c>
      <c r="H197" s="8">
        <v>18</v>
      </c>
      <c r="I197" t="s">
        <v>107</v>
      </c>
      <c r="J197" t="s">
        <v>82</v>
      </c>
      <c r="K197" t="s">
        <v>86</v>
      </c>
      <c r="L197" s="5">
        <v>5.09</v>
      </c>
      <c r="N197" s="6"/>
      <c r="O197" s="5"/>
    </row>
    <row r="198" spans="1:15" x14ac:dyDescent="0.55000000000000004">
      <c r="A198" s="6" t="s">
        <v>37</v>
      </c>
      <c r="B198" s="6">
        <v>13.04</v>
      </c>
      <c r="C198" s="5">
        <f t="shared" si="13"/>
        <v>7.9499999999999993</v>
      </c>
      <c r="D198" s="5">
        <f t="shared" si="14"/>
        <v>18.13</v>
      </c>
      <c r="E198" s="5">
        <v>18.13</v>
      </c>
      <c r="F198">
        <v>14</v>
      </c>
      <c r="G198" s="8">
        <v>18</v>
      </c>
      <c r="H198" s="8">
        <v>10</v>
      </c>
      <c r="I198" t="s">
        <v>107</v>
      </c>
      <c r="J198" t="s">
        <v>82</v>
      </c>
      <c r="K198" t="s">
        <v>86</v>
      </c>
      <c r="L198" s="5">
        <v>5.09</v>
      </c>
      <c r="N198" s="6"/>
      <c r="O198" s="5"/>
    </row>
    <row r="199" spans="1:15" x14ac:dyDescent="0.55000000000000004">
      <c r="A199" s="6" t="s">
        <v>45</v>
      </c>
      <c r="B199" s="6">
        <v>13.17</v>
      </c>
      <c r="C199" s="5">
        <f t="shared" si="13"/>
        <v>8.08</v>
      </c>
      <c r="D199" s="5">
        <f t="shared" si="14"/>
        <v>18.259999999999998</v>
      </c>
      <c r="E199" s="5">
        <v>13.17</v>
      </c>
      <c r="F199">
        <v>15</v>
      </c>
      <c r="G199" s="8">
        <v>13</v>
      </c>
      <c r="H199" s="8">
        <v>17</v>
      </c>
      <c r="I199" t="s">
        <v>107</v>
      </c>
      <c r="J199" t="s">
        <v>82</v>
      </c>
      <c r="K199" t="s">
        <v>86</v>
      </c>
      <c r="L199" s="5">
        <v>5.09</v>
      </c>
      <c r="N199" s="6"/>
      <c r="O199" s="5"/>
    </row>
    <row r="200" spans="1:15" x14ac:dyDescent="0.55000000000000004">
      <c r="A200" s="6" t="s">
        <v>32</v>
      </c>
      <c r="B200" s="6">
        <v>13.94</v>
      </c>
      <c r="C200" s="5">
        <f t="shared" si="13"/>
        <v>8.85</v>
      </c>
      <c r="D200" s="5">
        <f t="shared" si="14"/>
        <v>19.03</v>
      </c>
      <c r="E200" s="5">
        <v>19.03</v>
      </c>
      <c r="F200">
        <v>16</v>
      </c>
      <c r="G200" s="8">
        <v>19</v>
      </c>
      <c r="H200" s="8">
        <v>13</v>
      </c>
      <c r="I200" t="s">
        <v>107</v>
      </c>
      <c r="J200" t="s">
        <v>82</v>
      </c>
      <c r="K200" t="s">
        <v>86</v>
      </c>
      <c r="L200" s="5">
        <v>5.09</v>
      </c>
      <c r="N200" s="6"/>
      <c r="O200" s="5"/>
    </row>
    <row r="201" spans="1:15" x14ac:dyDescent="0.55000000000000004">
      <c r="A201" s="6" t="s">
        <v>49</v>
      </c>
      <c r="B201" s="6">
        <v>14.17</v>
      </c>
      <c r="C201" s="5">
        <f t="shared" si="13"/>
        <v>9.08</v>
      </c>
      <c r="D201" s="5">
        <f t="shared" si="14"/>
        <v>19.259999999999998</v>
      </c>
      <c r="E201" s="5">
        <v>19.260000000000002</v>
      </c>
      <c r="F201">
        <v>17</v>
      </c>
      <c r="G201" s="8">
        <v>20</v>
      </c>
      <c r="H201" s="8">
        <v>12</v>
      </c>
      <c r="I201" t="s">
        <v>107</v>
      </c>
      <c r="J201" t="s">
        <v>82</v>
      </c>
      <c r="K201" t="s">
        <v>86</v>
      </c>
      <c r="L201" s="5">
        <v>5.09</v>
      </c>
      <c r="N201" s="6"/>
      <c r="O201" s="5"/>
    </row>
    <row r="202" spans="1:15" x14ac:dyDescent="0.55000000000000004">
      <c r="A202" s="6" t="s">
        <v>30</v>
      </c>
      <c r="B202" s="6">
        <v>14.44</v>
      </c>
      <c r="C202" s="5">
        <f t="shared" si="13"/>
        <v>9.35</v>
      </c>
      <c r="D202" s="5">
        <f t="shared" si="14"/>
        <v>19.53</v>
      </c>
      <c r="E202" s="5">
        <v>19.53</v>
      </c>
      <c r="F202">
        <v>18</v>
      </c>
      <c r="G202" s="8">
        <v>21</v>
      </c>
      <c r="H202" s="8">
        <v>7</v>
      </c>
      <c r="I202" t="s">
        <v>107</v>
      </c>
      <c r="J202" t="s">
        <v>82</v>
      </c>
      <c r="K202" t="s">
        <v>86</v>
      </c>
      <c r="L202" s="5">
        <v>5.09</v>
      </c>
      <c r="N202" s="6"/>
      <c r="O202" s="5"/>
    </row>
    <row r="203" spans="1:15" x14ac:dyDescent="0.55000000000000004">
      <c r="A203" s="6" t="s">
        <v>42</v>
      </c>
      <c r="B203" s="6">
        <v>14.96</v>
      </c>
      <c r="C203" s="5">
        <f t="shared" si="13"/>
        <v>9.870000000000001</v>
      </c>
      <c r="D203" s="5">
        <f t="shared" si="14"/>
        <v>20.05</v>
      </c>
      <c r="E203" s="5">
        <v>20.05</v>
      </c>
      <c r="F203">
        <v>19</v>
      </c>
      <c r="G203" s="8">
        <v>22</v>
      </c>
      <c r="H203" s="8">
        <v>25</v>
      </c>
      <c r="I203" t="s">
        <v>107</v>
      </c>
      <c r="J203" t="s">
        <v>82</v>
      </c>
      <c r="K203" t="s">
        <v>86</v>
      </c>
      <c r="L203" s="5">
        <v>5.09</v>
      </c>
      <c r="N203" s="6"/>
      <c r="O203" s="5"/>
    </row>
    <row r="204" spans="1:15" x14ac:dyDescent="0.55000000000000004">
      <c r="A204" s="6" t="s">
        <v>47</v>
      </c>
      <c r="B204" s="6">
        <v>15.33</v>
      </c>
      <c r="C204" s="5">
        <f t="shared" si="13"/>
        <v>10.24</v>
      </c>
      <c r="D204" s="5">
        <f t="shared" si="14"/>
        <v>20.420000000000002</v>
      </c>
      <c r="E204" s="5">
        <v>15.33</v>
      </c>
      <c r="F204">
        <v>20</v>
      </c>
      <c r="G204" s="8">
        <v>14</v>
      </c>
      <c r="H204" s="8">
        <v>15</v>
      </c>
      <c r="I204" t="s">
        <v>107</v>
      </c>
      <c r="J204" t="s">
        <v>82</v>
      </c>
      <c r="K204" t="s">
        <v>86</v>
      </c>
      <c r="L204" s="5">
        <v>5.09</v>
      </c>
      <c r="N204" s="6"/>
      <c r="O204" s="5"/>
    </row>
    <row r="205" spans="1:15" x14ac:dyDescent="0.55000000000000004">
      <c r="A205" s="6" t="s">
        <v>31</v>
      </c>
      <c r="B205" s="6">
        <v>16.46</v>
      </c>
      <c r="C205" s="5">
        <f t="shared" si="13"/>
        <v>11.370000000000001</v>
      </c>
      <c r="D205" s="5">
        <f t="shared" si="14"/>
        <v>21.55</v>
      </c>
      <c r="E205" s="5">
        <v>16.46</v>
      </c>
      <c r="F205">
        <v>21</v>
      </c>
      <c r="G205" s="8">
        <v>15</v>
      </c>
      <c r="H205" s="8">
        <v>20</v>
      </c>
      <c r="I205" t="s">
        <v>107</v>
      </c>
      <c r="J205" t="s">
        <v>82</v>
      </c>
      <c r="K205" t="s">
        <v>86</v>
      </c>
      <c r="L205" s="5">
        <v>5.09</v>
      </c>
      <c r="N205" s="6"/>
      <c r="O205" s="5"/>
    </row>
    <row r="206" spans="1:15" x14ac:dyDescent="0.55000000000000004">
      <c r="A206" s="6" t="s">
        <v>29</v>
      </c>
      <c r="B206" s="6">
        <v>16.46</v>
      </c>
      <c r="C206" s="5">
        <f t="shared" si="13"/>
        <v>11.370000000000001</v>
      </c>
      <c r="D206" s="5">
        <f t="shared" si="14"/>
        <v>21.55</v>
      </c>
      <c r="E206" s="5">
        <v>21.55</v>
      </c>
      <c r="F206">
        <v>22</v>
      </c>
      <c r="G206" s="8">
        <v>23</v>
      </c>
      <c r="H206" s="8">
        <v>23</v>
      </c>
      <c r="I206" t="s">
        <v>107</v>
      </c>
      <c r="J206" t="s">
        <v>82</v>
      </c>
      <c r="K206" t="s">
        <v>86</v>
      </c>
      <c r="L206" s="5">
        <v>5.09</v>
      </c>
      <c r="N206" s="6"/>
      <c r="O206" s="5"/>
    </row>
    <row r="207" spans="1:15" x14ac:dyDescent="0.55000000000000004">
      <c r="A207" s="6" t="s">
        <v>26</v>
      </c>
      <c r="B207" s="6">
        <v>17</v>
      </c>
      <c r="C207" s="5">
        <f>B207-L207</f>
        <v>11.91</v>
      </c>
      <c r="D207" s="5">
        <f t="shared" si="14"/>
        <v>22.09</v>
      </c>
      <c r="E207" s="5">
        <v>17</v>
      </c>
      <c r="F207">
        <v>23</v>
      </c>
      <c r="G207" s="8">
        <v>16</v>
      </c>
      <c r="H207" s="8">
        <v>16</v>
      </c>
      <c r="I207" t="s">
        <v>107</v>
      </c>
      <c r="J207" t="s">
        <v>82</v>
      </c>
      <c r="K207" t="s">
        <v>86</v>
      </c>
      <c r="L207" s="5">
        <v>5.09</v>
      </c>
      <c r="N207" s="6"/>
      <c r="O207" s="5"/>
    </row>
    <row r="208" spans="1:15" x14ac:dyDescent="0.55000000000000004">
      <c r="A208" s="6" t="s">
        <v>46</v>
      </c>
      <c r="B208" s="6">
        <v>18.05</v>
      </c>
      <c r="C208" s="5">
        <f t="shared" si="13"/>
        <v>12.96</v>
      </c>
      <c r="D208" s="5">
        <f t="shared" si="14"/>
        <v>23.14</v>
      </c>
      <c r="E208" s="5">
        <v>23.14</v>
      </c>
      <c r="F208">
        <v>24</v>
      </c>
      <c r="G208" s="8">
        <v>24</v>
      </c>
      <c r="H208" s="8">
        <v>21</v>
      </c>
      <c r="I208" t="s">
        <v>107</v>
      </c>
      <c r="J208" t="s">
        <v>82</v>
      </c>
      <c r="K208" t="s">
        <v>86</v>
      </c>
      <c r="L208" s="5">
        <v>5.09</v>
      </c>
      <c r="N208" s="6"/>
      <c r="O208" s="5"/>
    </row>
    <row r="209" spans="1:15" x14ac:dyDescent="0.55000000000000004">
      <c r="A209" s="6" t="s">
        <v>43</v>
      </c>
      <c r="B209" s="6">
        <v>18.079999999999998</v>
      </c>
      <c r="C209" s="5">
        <f t="shared" si="13"/>
        <v>12.989999999999998</v>
      </c>
      <c r="D209" s="5">
        <f t="shared" si="14"/>
        <v>23.169999999999998</v>
      </c>
      <c r="E209" s="5">
        <v>23.17</v>
      </c>
      <c r="F209">
        <v>25</v>
      </c>
      <c r="G209" s="8">
        <v>25</v>
      </c>
      <c r="H209" s="8">
        <v>14</v>
      </c>
      <c r="I209" t="s">
        <v>107</v>
      </c>
      <c r="J209" t="s">
        <v>82</v>
      </c>
      <c r="K209" t="s">
        <v>86</v>
      </c>
      <c r="L209" s="5">
        <v>5.09</v>
      </c>
      <c r="N209" s="6"/>
      <c r="O209" s="5"/>
    </row>
    <row r="210" spans="1:15" x14ac:dyDescent="0.55000000000000004">
      <c r="A210" s="6" t="s">
        <v>35</v>
      </c>
      <c r="B210" s="6">
        <v>8.33</v>
      </c>
      <c r="C210" s="5">
        <f>B210-L210</f>
        <v>3.24</v>
      </c>
      <c r="D210" s="5">
        <f>B210+L210</f>
        <v>13.42</v>
      </c>
      <c r="E210" s="5">
        <v>3.24</v>
      </c>
      <c r="F210">
        <v>1</v>
      </c>
      <c r="G210" s="8">
        <v>1</v>
      </c>
      <c r="I210" t="s">
        <v>108</v>
      </c>
      <c r="J210" t="s">
        <v>85</v>
      </c>
      <c r="K210" t="s">
        <v>86</v>
      </c>
      <c r="L210" s="5">
        <v>5.09</v>
      </c>
      <c r="N210" s="6"/>
      <c r="O210" s="5"/>
    </row>
    <row r="211" spans="1:15" x14ac:dyDescent="0.55000000000000004">
      <c r="A211" s="6" t="s">
        <v>39</v>
      </c>
      <c r="B211" s="6">
        <v>8.34</v>
      </c>
      <c r="C211" s="5">
        <f t="shared" ref="C211:C234" si="15">B211-L211</f>
        <v>3.25</v>
      </c>
      <c r="D211" s="5">
        <f t="shared" ref="D211:D234" si="16">B211+L211</f>
        <v>13.43</v>
      </c>
      <c r="E211" s="5">
        <v>3.25</v>
      </c>
      <c r="F211">
        <v>2</v>
      </c>
      <c r="G211" s="8">
        <v>2</v>
      </c>
      <c r="I211" t="s">
        <v>108</v>
      </c>
      <c r="J211" t="s">
        <v>85</v>
      </c>
      <c r="K211" t="s">
        <v>86</v>
      </c>
      <c r="L211" s="5">
        <v>5.09</v>
      </c>
      <c r="N211" s="6"/>
      <c r="O211" s="5"/>
    </row>
    <row r="212" spans="1:15" x14ac:dyDescent="0.55000000000000004">
      <c r="A212" s="6" t="s">
        <v>27</v>
      </c>
      <c r="B212" s="6">
        <v>9.3800000000000008</v>
      </c>
      <c r="C212" s="5">
        <f t="shared" si="15"/>
        <v>4.2900000000000009</v>
      </c>
      <c r="D212" s="5">
        <f t="shared" si="16"/>
        <v>14.47</v>
      </c>
      <c r="E212" s="5">
        <v>9.3800000000000008</v>
      </c>
      <c r="F212">
        <v>3</v>
      </c>
      <c r="G212" s="8">
        <v>5</v>
      </c>
      <c r="I212" t="s">
        <v>108</v>
      </c>
      <c r="J212" t="s">
        <v>85</v>
      </c>
      <c r="K212" t="s">
        <v>86</v>
      </c>
      <c r="L212" s="5">
        <v>5.09</v>
      </c>
      <c r="N212" s="6"/>
      <c r="O212" s="5"/>
    </row>
    <row r="213" spans="1:15" x14ac:dyDescent="0.55000000000000004">
      <c r="A213" s="6" t="s">
        <v>36</v>
      </c>
      <c r="B213" s="6">
        <v>9.51</v>
      </c>
      <c r="C213" s="5">
        <f t="shared" si="15"/>
        <v>4.42</v>
      </c>
      <c r="D213" s="5">
        <f t="shared" si="16"/>
        <v>14.6</v>
      </c>
      <c r="E213" s="5">
        <v>9.51</v>
      </c>
      <c r="F213">
        <v>4</v>
      </c>
      <c r="G213" s="8">
        <v>7</v>
      </c>
      <c r="I213" t="s">
        <v>108</v>
      </c>
      <c r="J213" t="s">
        <v>85</v>
      </c>
      <c r="K213" t="s">
        <v>86</v>
      </c>
      <c r="L213" s="5">
        <v>5.09</v>
      </c>
      <c r="N213" s="6"/>
      <c r="O213" s="5"/>
    </row>
    <row r="214" spans="1:15" x14ac:dyDescent="0.55000000000000004">
      <c r="A214" s="6" t="s">
        <v>37</v>
      </c>
      <c r="B214" s="6">
        <v>10.24</v>
      </c>
      <c r="C214" s="5">
        <f t="shared" si="15"/>
        <v>5.15</v>
      </c>
      <c r="D214" s="5">
        <f t="shared" si="16"/>
        <v>15.33</v>
      </c>
      <c r="E214" s="5">
        <v>10.24</v>
      </c>
      <c r="F214">
        <v>5</v>
      </c>
      <c r="G214" s="8">
        <v>8</v>
      </c>
      <c r="I214" t="s">
        <v>108</v>
      </c>
      <c r="J214" t="s">
        <v>85</v>
      </c>
      <c r="K214" t="s">
        <v>86</v>
      </c>
      <c r="L214" s="5">
        <v>5.09</v>
      </c>
      <c r="N214" s="6"/>
      <c r="O214" s="5"/>
    </row>
    <row r="215" spans="1:15" x14ac:dyDescent="0.55000000000000004">
      <c r="A215" s="6" t="s">
        <v>44</v>
      </c>
      <c r="B215" s="6">
        <v>10.34</v>
      </c>
      <c r="C215" s="5">
        <f t="shared" si="15"/>
        <v>5.25</v>
      </c>
      <c r="D215" s="5">
        <f t="shared" si="16"/>
        <v>15.43</v>
      </c>
      <c r="E215" s="5">
        <v>10.34</v>
      </c>
      <c r="F215">
        <v>6</v>
      </c>
      <c r="G215" s="8">
        <v>9</v>
      </c>
      <c r="I215" t="s">
        <v>108</v>
      </c>
      <c r="J215" t="s">
        <v>85</v>
      </c>
      <c r="K215" t="s">
        <v>86</v>
      </c>
      <c r="L215" s="5">
        <v>5.09</v>
      </c>
      <c r="N215" s="6"/>
      <c r="O215" s="5"/>
    </row>
    <row r="216" spans="1:15" x14ac:dyDescent="0.55000000000000004">
      <c r="A216" s="6" t="s">
        <v>33</v>
      </c>
      <c r="B216" s="6">
        <v>11.03</v>
      </c>
      <c r="C216" s="5">
        <f t="shared" si="15"/>
        <v>5.9399999999999995</v>
      </c>
      <c r="D216" s="5">
        <f t="shared" si="16"/>
        <v>16.119999999999997</v>
      </c>
      <c r="E216" s="5">
        <v>11.03</v>
      </c>
      <c r="F216">
        <v>7</v>
      </c>
      <c r="G216" s="8">
        <v>10</v>
      </c>
      <c r="I216" t="s">
        <v>108</v>
      </c>
      <c r="J216" t="s">
        <v>85</v>
      </c>
      <c r="K216" t="s">
        <v>86</v>
      </c>
      <c r="L216" s="5">
        <v>5.09</v>
      </c>
      <c r="N216" s="6"/>
      <c r="O216" s="5"/>
    </row>
    <row r="217" spans="1:15" x14ac:dyDescent="0.55000000000000004">
      <c r="A217" s="6" t="s">
        <v>38</v>
      </c>
      <c r="B217" s="6">
        <v>11.04</v>
      </c>
      <c r="C217" s="5">
        <f t="shared" si="15"/>
        <v>5.9499999999999993</v>
      </c>
      <c r="D217" s="5">
        <f t="shared" si="16"/>
        <v>16.13</v>
      </c>
      <c r="E217" s="5">
        <v>5.95</v>
      </c>
      <c r="F217">
        <v>8</v>
      </c>
      <c r="G217" s="8">
        <v>3</v>
      </c>
      <c r="I217" t="s">
        <v>108</v>
      </c>
      <c r="J217" t="s">
        <v>85</v>
      </c>
      <c r="K217" t="s">
        <v>86</v>
      </c>
      <c r="L217" s="5">
        <v>5.09</v>
      </c>
      <c r="N217" s="6"/>
      <c r="O217" s="5"/>
    </row>
    <row r="218" spans="1:15" x14ac:dyDescent="0.55000000000000004">
      <c r="A218" s="6" t="s">
        <v>25</v>
      </c>
      <c r="B218" s="6">
        <v>11.15</v>
      </c>
      <c r="C218" s="5">
        <f t="shared" si="15"/>
        <v>6.0600000000000005</v>
      </c>
      <c r="D218" s="5">
        <f t="shared" si="16"/>
        <v>16.240000000000002</v>
      </c>
      <c r="E218" s="5">
        <v>6.06</v>
      </c>
      <c r="F218">
        <v>9</v>
      </c>
      <c r="G218" s="8">
        <v>4</v>
      </c>
      <c r="I218" t="s">
        <v>108</v>
      </c>
      <c r="J218" t="s">
        <v>85</v>
      </c>
      <c r="K218" t="s">
        <v>86</v>
      </c>
      <c r="L218" s="5">
        <v>5.09</v>
      </c>
      <c r="N218" s="6"/>
      <c r="O218" s="5"/>
    </row>
    <row r="219" spans="1:15" x14ac:dyDescent="0.55000000000000004">
      <c r="A219" s="6" t="s">
        <v>29</v>
      </c>
      <c r="B219" s="6">
        <v>12.24</v>
      </c>
      <c r="C219" s="5">
        <f t="shared" si="15"/>
        <v>7.15</v>
      </c>
      <c r="D219" s="5">
        <f t="shared" si="16"/>
        <v>17.329999999999998</v>
      </c>
      <c r="E219" s="5">
        <v>12.24</v>
      </c>
      <c r="F219">
        <v>10</v>
      </c>
      <c r="G219" s="8">
        <v>12</v>
      </c>
      <c r="I219" t="s">
        <v>108</v>
      </c>
      <c r="J219" t="s">
        <v>85</v>
      </c>
      <c r="K219" t="s">
        <v>86</v>
      </c>
      <c r="L219" s="5">
        <v>5.09</v>
      </c>
      <c r="N219" s="6"/>
      <c r="O219" s="5"/>
    </row>
    <row r="220" spans="1:15" x14ac:dyDescent="0.55000000000000004">
      <c r="A220" s="6" t="s">
        <v>45</v>
      </c>
      <c r="B220" s="6">
        <v>12.83</v>
      </c>
      <c r="C220" s="5">
        <f t="shared" si="15"/>
        <v>7.74</v>
      </c>
      <c r="D220" s="5">
        <f t="shared" si="16"/>
        <v>17.920000000000002</v>
      </c>
      <c r="E220" s="5">
        <v>12.83</v>
      </c>
      <c r="F220">
        <v>11</v>
      </c>
      <c r="G220">
        <v>13</v>
      </c>
      <c r="I220" t="s">
        <v>108</v>
      </c>
      <c r="J220" t="s">
        <v>85</v>
      </c>
      <c r="K220" t="s">
        <v>86</v>
      </c>
      <c r="L220" s="5">
        <v>5.09</v>
      </c>
      <c r="N220" s="6"/>
      <c r="O220" s="5"/>
    </row>
    <row r="221" spans="1:15" x14ac:dyDescent="0.55000000000000004">
      <c r="A221" s="6" t="s">
        <v>34</v>
      </c>
      <c r="B221" s="6">
        <v>13.75</v>
      </c>
      <c r="C221" s="5">
        <f t="shared" si="15"/>
        <v>8.66</v>
      </c>
      <c r="D221" s="5">
        <f t="shared" si="16"/>
        <v>18.84</v>
      </c>
      <c r="E221" s="5">
        <v>18.84</v>
      </c>
      <c r="F221">
        <v>12</v>
      </c>
      <c r="G221" s="8">
        <v>21</v>
      </c>
      <c r="I221" t="s">
        <v>108</v>
      </c>
      <c r="J221" t="s">
        <v>85</v>
      </c>
      <c r="K221" t="s">
        <v>86</v>
      </c>
      <c r="L221" s="5">
        <v>5.09</v>
      </c>
      <c r="N221" s="6"/>
      <c r="O221" s="5"/>
    </row>
    <row r="222" spans="1:15" x14ac:dyDescent="0.55000000000000004">
      <c r="A222" s="6" t="s">
        <v>49</v>
      </c>
      <c r="B222" s="6">
        <v>13.87</v>
      </c>
      <c r="C222" s="5">
        <f t="shared" si="15"/>
        <v>8.7799999999999994</v>
      </c>
      <c r="D222" s="5">
        <f t="shared" si="16"/>
        <v>18.96</v>
      </c>
      <c r="E222" s="5">
        <v>13.87</v>
      </c>
      <c r="F222">
        <v>13</v>
      </c>
      <c r="G222" s="8">
        <v>14</v>
      </c>
      <c r="I222" t="s">
        <v>108</v>
      </c>
      <c r="J222" t="s">
        <v>85</v>
      </c>
      <c r="K222" t="s">
        <v>86</v>
      </c>
      <c r="L222" s="5">
        <v>5.09</v>
      </c>
      <c r="N222" s="6"/>
      <c r="O222" s="5"/>
    </row>
    <row r="223" spans="1:15" x14ac:dyDescent="0.55000000000000004">
      <c r="A223" s="6" t="s">
        <v>48</v>
      </c>
      <c r="B223" s="6">
        <v>14.05</v>
      </c>
      <c r="C223" s="5">
        <f t="shared" si="15"/>
        <v>8.9600000000000009</v>
      </c>
      <c r="D223" s="5">
        <f t="shared" si="16"/>
        <v>19.14</v>
      </c>
      <c r="E223" s="5">
        <v>19.14</v>
      </c>
      <c r="F223">
        <v>14</v>
      </c>
      <c r="G223" s="8">
        <v>22</v>
      </c>
      <c r="I223" t="s">
        <v>108</v>
      </c>
      <c r="J223" t="s">
        <v>85</v>
      </c>
      <c r="K223" t="s">
        <v>86</v>
      </c>
      <c r="L223" s="5">
        <v>5.09</v>
      </c>
      <c r="N223" s="6"/>
      <c r="O223" s="5"/>
    </row>
    <row r="224" spans="1:15" x14ac:dyDescent="0.55000000000000004">
      <c r="A224" s="6" t="s">
        <v>41</v>
      </c>
      <c r="B224" s="6">
        <v>14.33</v>
      </c>
      <c r="C224" s="5">
        <f t="shared" si="15"/>
        <v>9.24</v>
      </c>
      <c r="D224" s="5">
        <f t="shared" si="16"/>
        <v>19.420000000000002</v>
      </c>
      <c r="E224" s="5">
        <v>14.33</v>
      </c>
      <c r="F224">
        <v>15</v>
      </c>
      <c r="G224" s="8">
        <v>15</v>
      </c>
      <c r="I224" t="s">
        <v>108</v>
      </c>
      <c r="J224" t="s">
        <v>85</v>
      </c>
      <c r="K224" t="s">
        <v>86</v>
      </c>
      <c r="L224" s="5">
        <v>5.09</v>
      </c>
      <c r="N224" s="6"/>
      <c r="O224" s="5"/>
    </row>
    <row r="225" spans="1:15" x14ac:dyDescent="0.55000000000000004">
      <c r="A225" s="6" t="s">
        <v>42</v>
      </c>
      <c r="B225" s="6">
        <v>14.57</v>
      </c>
      <c r="C225" s="5">
        <f t="shared" si="15"/>
        <v>9.48</v>
      </c>
      <c r="D225" s="5">
        <f t="shared" si="16"/>
        <v>19.66</v>
      </c>
      <c r="E225" s="5">
        <v>9.48</v>
      </c>
      <c r="F225">
        <v>16</v>
      </c>
      <c r="G225" s="8">
        <v>6</v>
      </c>
      <c r="I225" t="s">
        <v>108</v>
      </c>
      <c r="J225" t="s">
        <v>85</v>
      </c>
      <c r="K225" t="s">
        <v>86</v>
      </c>
      <c r="L225" s="5">
        <v>5.09</v>
      </c>
      <c r="N225" s="6"/>
      <c r="O225" s="5"/>
    </row>
    <row r="226" spans="1:15" x14ac:dyDescent="0.55000000000000004">
      <c r="A226" s="6" t="s">
        <v>40</v>
      </c>
      <c r="B226" s="6">
        <v>14.59</v>
      </c>
      <c r="C226" s="5">
        <f t="shared" si="15"/>
        <v>9.5</v>
      </c>
      <c r="D226" s="5">
        <f t="shared" si="16"/>
        <v>19.68</v>
      </c>
      <c r="E226" s="5">
        <v>14.59</v>
      </c>
      <c r="F226">
        <v>17</v>
      </c>
      <c r="G226" s="8">
        <v>16</v>
      </c>
      <c r="I226" t="s">
        <v>108</v>
      </c>
      <c r="J226" t="s">
        <v>85</v>
      </c>
      <c r="K226" t="s">
        <v>86</v>
      </c>
      <c r="L226" s="5">
        <v>5.09</v>
      </c>
      <c r="N226" s="6"/>
      <c r="O226" s="5"/>
    </row>
    <row r="227" spans="1:15" x14ac:dyDescent="0.55000000000000004">
      <c r="A227" s="6" t="s">
        <v>28</v>
      </c>
      <c r="B227" s="6">
        <v>14.63</v>
      </c>
      <c r="C227" s="5">
        <f t="shared" si="15"/>
        <v>9.5400000000000009</v>
      </c>
      <c r="D227" s="5">
        <f t="shared" si="16"/>
        <v>19.72</v>
      </c>
      <c r="E227" s="5">
        <v>14.63</v>
      </c>
      <c r="F227">
        <v>18</v>
      </c>
      <c r="G227" s="8">
        <v>17</v>
      </c>
      <c r="I227" t="s">
        <v>108</v>
      </c>
      <c r="J227" t="s">
        <v>85</v>
      </c>
      <c r="K227" t="s">
        <v>86</v>
      </c>
      <c r="L227" s="5">
        <v>5.09</v>
      </c>
      <c r="N227" s="6"/>
      <c r="O227" s="5"/>
    </row>
    <row r="228" spans="1:15" x14ac:dyDescent="0.55000000000000004">
      <c r="A228" s="6" t="s">
        <v>30</v>
      </c>
      <c r="B228" s="6">
        <v>14.98</v>
      </c>
      <c r="C228" s="5">
        <f t="shared" si="15"/>
        <v>9.89</v>
      </c>
      <c r="D228" s="5">
        <f t="shared" si="16"/>
        <v>20.07</v>
      </c>
      <c r="E228" s="5">
        <v>20.07</v>
      </c>
      <c r="F228">
        <v>19</v>
      </c>
      <c r="G228" s="8">
        <v>23</v>
      </c>
      <c r="I228" t="s">
        <v>108</v>
      </c>
      <c r="J228" t="s">
        <v>85</v>
      </c>
      <c r="K228" t="s">
        <v>86</v>
      </c>
      <c r="L228" s="5">
        <v>5.09</v>
      </c>
      <c r="N228" s="6"/>
      <c r="O228" s="5"/>
    </row>
    <row r="229" spans="1:15" x14ac:dyDescent="0.55000000000000004">
      <c r="A229" s="6" t="s">
        <v>46</v>
      </c>
      <c r="B229" s="6">
        <v>14.98</v>
      </c>
      <c r="C229" s="5">
        <f t="shared" si="15"/>
        <v>9.89</v>
      </c>
      <c r="D229" s="5">
        <f t="shared" si="16"/>
        <v>20.07</v>
      </c>
      <c r="E229" s="5">
        <v>14.98</v>
      </c>
      <c r="F229">
        <v>20</v>
      </c>
      <c r="G229" s="8">
        <v>18</v>
      </c>
      <c r="I229" t="s">
        <v>108</v>
      </c>
      <c r="J229" t="s">
        <v>85</v>
      </c>
      <c r="K229" t="s">
        <v>86</v>
      </c>
      <c r="L229" s="5">
        <v>5.09</v>
      </c>
      <c r="N229" s="6"/>
      <c r="O229" s="5"/>
    </row>
    <row r="230" spans="1:15" x14ac:dyDescent="0.55000000000000004">
      <c r="A230" s="6" t="s">
        <v>47</v>
      </c>
      <c r="B230" s="6">
        <v>15.75</v>
      </c>
      <c r="C230" s="5">
        <f t="shared" si="15"/>
        <v>10.66</v>
      </c>
      <c r="D230" s="5">
        <f t="shared" si="16"/>
        <v>20.84</v>
      </c>
      <c r="E230" s="5">
        <v>15.75</v>
      </c>
      <c r="F230">
        <v>21</v>
      </c>
      <c r="G230" s="8">
        <v>19</v>
      </c>
      <c r="I230" t="s">
        <v>108</v>
      </c>
      <c r="J230" t="s">
        <v>85</v>
      </c>
      <c r="K230" t="s">
        <v>86</v>
      </c>
      <c r="L230" s="5">
        <v>5.09</v>
      </c>
      <c r="N230" s="6"/>
      <c r="O230" s="5"/>
    </row>
    <row r="231" spans="1:15" x14ac:dyDescent="0.55000000000000004">
      <c r="A231" s="6" t="s">
        <v>26</v>
      </c>
      <c r="B231" s="6">
        <v>16.239999999999998</v>
      </c>
      <c r="C231" s="5">
        <f t="shared" si="15"/>
        <v>11.149999999999999</v>
      </c>
      <c r="D231" s="5">
        <f t="shared" si="16"/>
        <v>21.33</v>
      </c>
      <c r="E231" s="5">
        <v>11.15</v>
      </c>
      <c r="F231">
        <v>22</v>
      </c>
      <c r="G231" s="8">
        <v>11</v>
      </c>
      <c r="I231" t="s">
        <v>108</v>
      </c>
      <c r="J231" t="s">
        <v>85</v>
      </c>
      <c r="K231" t="s">
        <v>86</v>
      </c>
      <c r="L231" s="5">
        <v>5.09</v>
      </c>
      <c r="N231" s="6"/>
      <c r="O231" s="5"/>
    </row>
    <row r="232" spans="1:15" x14ac:dyDescent="0.55000000000000004">
      <c r="A232" s="6" t="s">
        <v>43</v>
      </c>
      <c r="B232" s="6">
        <v>16.5</v>
      </c>
      <c r="C232" s="5">
        <f t="shared" si="15"/>
        <v>11.41</v>
      </c>
      <c r="D232" s="5">
        <f t="shared" si="16"/>
        <v>21.59</v>
      </c>
      <c r="E232" s="5">
        <v>21.59</v>
      </c>
      <c r="F232">
        <v>23</v>
      </c>
      <c r="G232" s="8">
        <v>24</v>
      </c>
      <c r="I232" t="s">
        <v>108</v>
      </c>
      <c r="J232" t="s">
        <v>85</v>
      </c>
      <c r="K232" t="s">
        <v>86</v>
      </c>
      <c r="L232" s="5">
        <v>5.09</v>
      </c>
      <c r="N232" s="6"/>
      <c r="O232" s="5"/>
    </row>
    <row r="233" spans="1:15" x14ac:dyDescent="0.55000000000000004">
      <c r="A233" s="6" t="s">
        <v>31</v>
      </c>
      <c r="B233" s="6">
        <v>16.55</v>
      </c>
      <c r="C233" s="5">
        <f>B233-L233</f>
        <v>11.46</v>
      </c>
      <c r="D233" s="5">
        <f t="shared" si="16"/>
        <v>21.64</v>
      </c>
      <c r="E233" s="5">
        <v>16.55</v>
      </c>
      <c r="F233">
        <v>24</v>
      </c>
      <c r="G233" s="8">
        <v>20</v>
      </c>
      <c r="I233" t="s">
        <v>108</v>
      </c>
      <c r="J233" t="s">
        <v>85</v>
      </c>
      <c r="K233" t="s">
        <v>86</v>
      </c>
      <c r="L233" s="5">
        <v>5.09</v>
      </c>
      <c r="N233" s="6"/>
      <c r="O233" s="5"/>
    </row>
    <row r="234" spans="1:15" x14ac:dyDescent="0.55000000000000004">
      <c r="A234" s="6" t="s">
        <v>32</v>
      </c>
      <c r="B234" s="6">
        <v>16.55</v>
      </c>
      <c r="C234" s="5">
        <f t="shared" si="15"/>
        <v>11.46</v>
      </c>
      <c r="D234" s="5">
        <f t="shared" si="16"/>
        <v>21.64</v>
      </c>
      <c r="E234" s="5">
        <v>21.64</v>
      </c>
      <c r="F234">
        <v>25</v>
      </c>
      <c r="G234" s="8">
        <v>25</v>
      </c>
      <c r="I234" t="s">
        <v>108</v>
      </c>
      <c r="J234" t="s">
        <v>85</v>
      </c>
      <c r="K234" t="s">
        <v>86</v>
      </c>
      <c r="L234" s="5">
        <v>5.09</v>
      </c>
      <c r="N234" s="6"/>
      <c r="O234" s="5"/>
    </row>
  </sheetData>
  <sortState xmlns:xlrd2="http://schemas.microsoft.com/office/spreadsheetml/2017/richdata2" ref="N210:O234">
    <sortCondition ref="O210:O234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Palomino Alanis, Ruben</cp:lastModifiedBy>
  <cp:lastPrinted>2026-03-06T22:48:31Z</cp:lastPrinted>
  <dcterms:created xsi:type="dcterms:W3CDTF">2026-02-25T20:35:48Z</dcterms:created>
  <dcterms:modified xsi:type="dcterms:W3CDTF">2026-06-07T16:08:35Z</dcterms:modified>
</cp:coreProperties>
</file>