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pa_\Desktop\Programing\IndyCar_Project\IndyCar\predictions\"/>
    </mc:Choice>
  </mc:AlternateContent>
  <xr:revisionPtr revIDLastSave="0" documentId="13_ncr:1_{ED8355DD-90BB-46F4-89E9-7603B9782255}" xr6:coauthVersionLast="47" xr6:coauthVersionMax="47" xr10:uidLastSave="{00000000-0000-0000-0000-000000000000}"/>
  <bookViews>
    <workbookView xWindow="-96" yWindow="-96" windowWidth="23232" windowHeight="12432" activeTab="3" xr2:uid="{74EB7EE7-EB5C-4423-87E4-FE46F1C4926A}"/>
  </bookViews>
  <sheets>
    <sheet name="Pre-Qualy_Model" sheetId="1" r:id="rId1"/>
    <sheet name="Post-Qualy_Model" sheetId="2" r:id="rId2"/>
    <sheet name="Pre-Qualy Results" sheetId="3" r:id="rId3"/>
    <sheet name="Post-Qualy Results" sheetId="4" r:id="rId4"/>
  </sheets>
  <definedNames>
    <definedName name="_xlnm._FilterDatabase" localSheetId="3" hidden="1">'Post-Qualy Results'!$A$1:$L$101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6" i="4" l="1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285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60" i="4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60" i="3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35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10" i="4"/>
  <c r="C233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4" i="4"/>
  <c r="C210" i="4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10" i="3"/>
  <c r="C234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10" i="3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185" i="4"/>
  <c r="C207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8" i="4"/>
  <c r="C209" i="4"/>
  <c r="C185" i="4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185" i="3"/>
  <c r="H31" i="1"/>
  <c r="D153" i="4" l="1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D152" i="4"/>
  <c r="C152" i="4"/>
  <c r="C153" i="3"/>
  <c r="D153" i="3"/>
  <c r="C154" i="3"/>
  <c r="D154" i="3"/>
  <c r="C155" i="3"/>
  <c r="D155" i="3"/>
  <c r="C156" i="3"/>
  <c r="D156" i="3"/>
  <c r="C157" i="3"/>
  <c r="D157" i="3"/>
  <c r="C158" i="3"/>
  <c r="D158" i="3"/>
  <c r="C159" i="3"/>
  <c r="D159" i="3"/>
  <c r="C160" i="3"/>
  <c r="D160" i="3"/>
  <c r="C161" i="3"/>
  <c r="D161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D152" i="3"/>
  <c r="C152" i="3"/>
  <c r="C2" i="3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27" i="4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27" i="3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02" i="4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02" i="3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2" i="4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27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52" i="3"/>
  <c r="D52" i="3"/>
  <c r="C53" i="3"/>
  <c r="D53" i="3"/>
  <c r="C54" i="3"/>
  <c r="D54" i="3"/>
  <c r="C55" i="3"/>
  <c r="D55" i="3"/>
  <c r="C56" i="3"/>
  <c r="D56" i="3"/>
  <c r="C57" i="3"/>
  <c r="D57" i="3"/>
  <c r="C58" i="3"/>
  <c r="D58" i="3"/>
  <c r="C59" i="3"/>
  <c r="D59" i="3"/>
  <c r="C60" i="3"/>
  <c r="D60" i="3"/>
  <c r="C61" i="3"/>
  <c r="D61" i="3"/>
  <c r="C62" i="3"/>
  <c r="D62" i="3"/>
  <c r="C63" i="3"/>
  <c r="D63" i="3"/>
  <c r="C64" i="3"/>
  <c r="D64" i="3"/>
  <c r="C65" i="3"/>
  <c r="D65" i="3"/>
  <c r="C66" i="3"/>
  <c r="D66" i="3"/>
  <c r="C67" i="3"/>
  <c r="D67" i="3"/>
  <c r="C68" i="3"/>
  <c r="D68" i="3"/>
  <c r="C69" i="3"/>
  <c r="D69" i="3"/>
  <c r="C70" i="3"/>
  <c r="D70" i="3"/>
  <c r="C71" i="3"/>
  <c r="D71" i="3"/>
  <c r="C72" i="3"/>
  <c r="D72" i="3"/>
  <c r="C73" i="3"/>
  <c r="D73" i="3"/>
  <c r="C74" i="3"/>
  <c r="D74" i="3"/>
  <c r="C75" i="3"/>
  <c r="D75" i="3"/>
  <c r="C76" i="3"/>
  <c r="D76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77" i="3"/>
</calcChain>
</file>

<file path=xl/sharedStrings.xml><?xml version="1.0" encoding="utf-8"?>
<sst xmlns="http://schemas.openxmlformats.org/spreadsheetml/2006/main" count="2529" uniqueCount="113">
  <si>
    <t>Model</t>
  </si>
  <si>
    <t>MAE</t>
  </si>
  <si>
    <t>Training Data Results</t>
  </si>
  <si>
    <t>R2</t>
  </si>
  <si>
    <t>GBR</t>
  </si>
  <si>
    <t>Testing Seen Data Results</t>
  </si>
  <si>
    <t>Testing Unseen Data Results</t>
  </si>
  <si>
    <t>Training Data Results (Tuned)</t>
  </si>
  <si>
    <t>Cat</t>
  </si>
  <si>
    <t>LightGBM</t>
  </si>
  <si>
    <t>RF</t>
  </si>
  <si>
    <t>RF_LGBM</t>
  </si>
  <si>
    <t>RF_LGBM_GBR</t>
  </si>
  <si>
    <t>all 4</t>
  </si>
  <si>
    <t>RF_CAT</t>
  </si>
  <si>
    <t>RF_LGBM_CAT</t>
  </si>
  <si>
    <t>et</t>
  </si>
  <si>
    <t>rf</t>
  </si>
  <si>
    <t>gbr</t>
  </si>
  <si>
    <t>cat</t>
  </si>
  <si>
    <t>lgbm</t>
  </si>
  <si>
    <t>rf_lgbm</t>
  </si>
  <si>
    <t>rf_lgbm_cat</t>
  </si>
  <si>
    <t>br_et_rf</t>
  </si>
  <si>
    <t>br</t>
  </si>
  <si>
    <t>Marcus Armstrong</t>
  </si>
  <si>
    <t>Caio Collet</t>
  </si>
  <si>
    <t>Scott Dixon</t>
  </si>
  <si>
    <t>Marcus Ericsson</t>
  </si>
  <si>
    <t>Santino Ferrucci</t>
  </si>
  <si>
    <t>Louis Foster</t>
  </si>
  <si>
    <t>Romain Grosjean</t>
  </si>
  <si>
    <t>Dennis Hauger</t>
  </si>
  <si>
    <t>Kyle Kirkwood</t>
  </si>
  <si>
    <t>Christian Lundgaard</t>
  </si>
  <si>
    <t>David Malukas</t>
  </si>
  <si>
    <t>Scott McLaughlin</t>
  </si>
  <si>
    <t>Josef Newgarden</t>
  </si>
  <si>
    <t>Pato O'Ward</t>
  </si>
  <si>
    <t>Alex Palou</t>
  </si>
  <si>
    <t>Will Power</t>
  </si>
  <si>
    <t>Graham Rahal</t>
  </si>
  <si>
    <t>Christian Rasmussen</t>
  </si>
  <si>
    <t>Sting Ray Robb</t>
  </si>
  <si>
    <t>Felix Rosenqvist</t>
  </si>
  <si>
    <t>Alexander Rossi</t>
  </si>
  <si>
    <t>Mick Schumacher</t>
  </si>
  <si>
    <t>Nolan Siegel</t>
  </si>
  <si>
    <t>Kyffin Simpson</t>
  </si>
  <si>
    <t>Rinus VeeKay</t>
  </si>
  <si>
    <t>ID</t>
  </si>
  <si>
    <t>Non-ID</t>
  </si>
  <si>
    <t>all6</t>
  </si>
  <si>
    <t>cat_lgbm_br</t>
  </si>
  <si>
    <t>rf_cat</t>
  </si>
  <si>
    <t>all5</t>
  </si>
  <si>
    <t>lgbm_gbr_rf</t>
  </si>
  <si>
    <t>lgbm_cat</t>
  </si>
  <si>
    <t>LGBM_CAT</t>
  </si>
  <si>
    <t>lgbm_gbr</t>
  </si>
  <si>
    <t>all4</t>
  </si>
  <si>
    <t>cat_gbr</t>
  </si>
  <si>
    <t>rf_tune</t>
  </si>
  <si>
    <t>gbr_tune</t>
  </si>
  <si>
    <t>cat_tune</t>
  </si>
  <si>
    <t>lgbm_tune</t>
  </si>
  <si>
    <t>Driver</t>
  </si>
  <si>
    <t>RawScore</t>
  </si>
  <si>
    <t>MyRawScore</t>
  </si>
  <si>
    <t>ModelRank</t>
  </si>
  <si>
    <t>MyRank</t>
  </si>
  <si>
    <t>ActualFinish</t>
  </si>
  <si>
    <t>Track</t>
  </si>
  <si>
    <t>TrackType</t>
  </si>
  <si>
    <t>Phase</t>
  </si>
  <si>
    <t>Barber Motorsports Park</t>
  </si>
  <si>
    <t>Road</t>
  </si>
  <si>
    <t>Pre-Qualy</t>
  </si>
  <si>
    <t>High</t>
  </si>
  <si>
    <t>Low</t>
  </si>
  <si>
    <t>ModelMAE</t>
  </si>
  <si>
    <t>Streets of Arlington</t>
  </si>
  <si>
    <t>Street</t>
  </si>
  <si>
    <t>Streets of St. Petersburg</t>
  </si>
  <si>
    <t>Phoenix Raceway</t>
  </si>
  <si>
    <t>Oval</t>
  </si>
  <si>
    <t>Post-Qualy</t>
  </si>
  <si>
    <t>XGB</t>
  </si>
  <si>
    <t>Streets of Long Beach</t>
  </si>
  <si>
    <t>Indianapolis Motor Speedway (Road)</t>
  </si>
  <si>
    <t>Indianapolis Motor Speedway (Oval)</t>
  </si>
  <si>
    <t>Conor Daly</t>
  </si>
  <si>
    <t>Helio Castroneves</t>
  </si>
  <si>
    <t>Ryan Hunter-Reay</t>
  </si>
  <si>
    <t>Takuma Sato</t>
  </si>
  <si>
    <t>Jacob Abel</t>
  </si>
  <si>
    <t>Ed Carpenter</t>
  </si>
  <si>
    <t>Jack Harvey</t>
  </si>
  <si>
    <t>Katherine Legge</t>
  </si>
  <si>
    <t>ridge</t>
  </si>
  <si>
    <t>xgb</t>
  </si>
  <si>
    <t>ridge_tune</t>
  </si>
  <si>
    <t>br_tune</t>
  </si>
  <si>
    <t>cat_lgbm</t>
  </si>
  <si>
    <t>gbr_lgbm</t>
  </si>
  <si>
    <t>all3</t>
  </si>
  <si>
    <t>DISCARD</t>
  </si>
  <si>
    <t>Streets of Detroit</t>
  </si>
  <si>
    <t>World Wide Technology Raceway</t>
  </si>
  <si>
    <t>Nashville Superpeedway</t>
  </si>
  <si>
    <t>Milwaukee Mile</t>
  </si>
  <si>
    <t>Milwuakee Mile (Race 1)</t>
  </si>
  <si>
    <t>Milwuakee Mile (Race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</si>
</sst>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16" fontId="0" fillId="0" borderId="0" xfId="0" applyNumberFormat="1"/>
    <xf numFmtId="2" fontId="0" fillId="0" borderId="0" xfId="0" applyNumberForma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" fontId="0" fillId="0" borderId="0" xfId="0" applyNumberFormat="1"/>
    <xf numFmtId="2" fontId="0" fillId="0" borderId="0" xfId="0" applyNumberFormat="1" applyAlignment="1">
      <alignment vertical="center"/>
    </xf>
    <xf numFmtId="164" fontId="0" fillId="0" borderId="0" xfId="0" applyNumberFormat="1"/>
    <xf numFmtId="0" fontId="0" fillId="0" borderId="4" xfId="0" applyBorder="1"/>
    <xf numFmtId="165" fontId="0" fillId="0" borderId="0" xfId="0" applyNumberFormat="1"/>
    <xf numFmtId="2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</cellXfs>
  <cellStyles count="1">
    <cellStyle name="Normal" xfId="0" builtinId="0"/>
  </cellStyles>
  <dxfs count="3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6913-6699-4642-91DA-EC5EA358EA79}">
  <dimension ref="A1:J33"/>
  <sheetViews>
    <sheetView topLeftCell="A12" workbookViewId="0">
      <selection activeCell="H31" sqref="H31"/>
    </sheetView>
  </sheetViews>
  <sheetFormatPr defaultRowHeight="14.4" x14ac:dyDescent="0.55000000000000004"/>
  <cols>
    <col min="1" max="1" width="12.3671875" bestFit="1" customWidth="1"/>
    <col min="2" max="3" width="9.26171875" customWidth="1"/>
  </cols>
  <sheetData>
    <row r="1" spans="1:10" ht="36.299999999999997" customHeight="1" x14ac:dyDescent="0.55000000000000004">
      <c r="A1" s="2" t="s">
        <v>0</v>
      </c>
      <c r="B1" s="16" t="s">
        <v>2</v>
      </c>
      <c r="C1" s="17"/>
      <c r="D1" s="14" t="s">
        <v>7</v>
      </c>
      <c r="E1" s="14"/>
      <c r="F1" s="15" t="s">
        <v>5</v>
      </c>
      <c r="G1" s="15"/>
      <c r="H1" s="15" t="s">
        <v>6</v>
      </c>
      <c r="I1" s="15"/>
      <c r="J1" t="s">
        <v>51</v>
      </c>
    </row>
    <row r="2" spans="1:1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</row>
    <row r="3" spans="1:10" x14ac:dyDescent="0.55000000000000004">
      <c r="A3" s="1" t="s">
        <v>87</v>
      </c>
      <c r="B3" s="1">
        <v>0.24779999999999999</v>
      </c>
      <c r="C3" s="1">
        <v>3.5400000000000001E-2</v>
      </c>
      <c r="D3" s="1">
        <v>0.2576</v>
      </c>
      <c r="E3" s="1">
        <v>2.2200000000000001E-2</v>
      </c>
      <c r="F3" s="1">
        <v>0.2208</v>
      </c>
      <c r="G3" s="1">
        <v>0.20200000000000001</v>
      </c>
      <c r="H3" s="1">
        <v>0.22900000000000001</v>
      </c>
      <c r="I3" s="1">
        <v>0.13220000000000001</v>
      </c>
    </row>
    <row r="4" spans="1:10" x14ac:dyDescent="0.55000000000000004">
      <c r="A4" s="1" t="s">
        <v>10</v>
      </c>
      <c r="B4" s="1">
        <v>0.2427</v>
      </c>
      <c r="C4" s="1">
        <v>9.0700000000000003E-2</v>
      </c>
      <c r="D4" s="1">
        <v>0.23599999999999999</v>
      </c>
      <c r="E4" s="1">
        <v>0.13930000000000001</v>
      </c>
      <c r="F4" s="1">
        <v>0.21579999999999999</v>
      </c>
      <c r="G4" s="1">
        <v>0.251</v>
      </c>
      <c r="H4" s="1">
        <v>0.22170000000000001</v>
      </c>
      <c r="I4" s="1">
        <v>0.2039</v>
      </c>
    </row>
    <row r="5" spans="1:10" x14ac:dyDescent="0.55000000000000004">
      <c r="A5" s="1" t="s">
        <v>4</v>
      </c>
      <c r="B5" s="1">
        <v>0.24329999999999999</v>
      </c>
      <c r="C5" s="1">
        <v>6.83E-2</v>
      </c>
      <c r="D5" s="1">
        <v>0.24079999999999999</v>
      </c>
      <c r="E5" s="1">
        <v>0.1186</v>
      </c>
      <c r="F5" s="1">
        <v>0.22370000000000001</v>
      </c>
      <c r="G5" s="1">
        <v>0.22170000000000001</v>
      </c>
      <c r="H5" s="1">
        <v>0.22800000000000001</v>
      </c>
      <c r="I5" s="1">
        <v>0.1794</v>
      </c>
    </row>
    <row r="6" spans="1:10" x14ac:dyDescent="0.55000000000000004">
      <c r="A6" s="1" t="s">
        <v>8</v>
      </c>
      <c r="B6" s="1">
        <v>0.24610000000000001</v>
      </c>
      <c r="C6" s="1">
        <v>4.9500000000000002E-2</v>
      </c>
      <c r="D6" s="1">
        <v>0.23760000000000001</v>
      </c>
      <c r="E6" s="1">
        <v>0.12139999999999999</v>
      </c>
      <c r="F6" s="1">
        <v>0.2137</v>
      </c>
      <c r="G6" s="1">
        <v>0.25030000000000002</v>
      </c>
      <c r="H6" s="1">
        <v>0.21840000000000001</v>
      </c>
      <c r="I6" s="1">
        <v>0.19309999999999999</v>
      </c>
    </row>
    <row r="7" spans="1:10" x14ac:dyDescent="0.55000000000000004">
      <c r="A7" s="1" t="s">
        <v>9</v>
      </c>
      <c r="B7" s="1">
        <v>0.2477</v>
      </c>
      <c r="C7" s="1">
        <v>1.6899999999999998E-2</v>
      </c>
      <c r="D7" s="1">
        <v>0.2364</v>
      </c>
      <c r="E7" s="1">
        <v>0.13469999999999999</v>
      </c>
      <c r="F7" s="1">
        <v>0.2147</v>
      </c>
      <c r="G7" s="1">
        <v>0.25440000000000002</v>
      </c>
      <c r="H7" s="1">
        <v>0.22020000000000001</v>
      </c>
      <c r="I7" s="1">
        <v>0.1993</v>
      </c>
    </row>
    <row r="8" spans="1:10" x14ac:dyDescent="0.55000000000000004">
      <c r="A8" s="1" t="s">
        <v>11</v>
      </c>
      <c r="B8" s="1">
        <v>0.23580000000000001</v>
      </c>
      <c r="C8" s="1">
        <v>0.14030000000000001</v>
      </c>
      <c r="D8" s="1">
        <v>0.23580000000000001</v>
      </c>
      <c r="E8" s="1">
        <v>0.14069999999999999</v>
      </c>
      <c r="F8" s="1">
        <v>0.2152</v>
      </c>
      <c r="G8" s="1">
        <v>0.25369999999999998</v>
      </c>
      <c r="H8" s="1">
        <v>0.22109999999999999</v>
      </c>
      <c r="I8" s="1">
        <v>0.2036</v>
      </c>
    </row>
    <row r="9" spans="1:10" x14ac:dyDescent="0.55000000000000004">
      <c r="A9" s="1" t="s">
        <v>12</v>
      </c>
      <c r="B9" s="1">
        <v>0.23719999999999999</v>
      </c>
      <c r="C9" s="1">
        <v>0.13639999999999999</v>
      </c>
      <c r="D9" s="1">
        <v>0.2366</v>
      </c>
      <c r="E9" s="1">
        <v>0.13830000000000001</v>
      </c>
      <c r="F9" s="1">
        <v>0.2167</v>
      </c>
      <c r="G9" s="1">
        <v>0.25030000000000002</v>
      </c>
      <c r="H9" s="1">
        <v>0.22209999999999999</v>
      </c>
      <c r="I9" s="1">
        <v>0.20039999999999999</v>
      </c>
    </row>
    <row r="10" spans="1:10" x14ac:dyDescent="0.55000000000000004">
      <c r="A10" s="1" t="s">
        <v>13</v>
      </c>
      <c r="B10" s="1">
        <v>0.23699999999999999</v>
      </c>
      <c r="C10" s="1">
        <v>0.13550000000000001</v>
      </c>
      <c r="D10" s="1">
        <v>0.23649999999999999</v>
      </c>
      <c r="E10" s="1">
        <v>0.13650000000000001</v>
      </c>
      <c r="F10" s="1">
        <v>0.21510000000000001</v>
      </c>
      <c r="G10" s="1">
        <v>0.25409999999999999</v>
      </c>
      <c r="H10" s="1">
        <v>0.2203</v>
      </c>
      <c r="I10" s="1">
        <v>0.2011</v>
      </c>
    </row>
    <row r="12" spans="1:10" ht="31.8" customHeight="1" x14ac:dyDescent="0.55000000000000004">
      <c r="A12" s="2" t="s">
        <v>0</v>
      </c>
      <c r="B12" s="16" t="s">
        <v>2</v>
      </c>
      <c r="C12" s="17"/>
      <c r="D12" s="14" t="s">
        <v>7</v>
      </c>
      <c r="E12" s="14"/>
      <c r="F12" s="15" t="s">
        <v>5</v>
      </c>
      <c r="G12" s="15"/>
      <c r="H12" s="15" t="s">
        <v>6</v>
      </c>
      <c r="I12" s="15"/>
      <c r="J12" t="s">
        <v>50</v>
      </c>
    </row>
    <row r="13" spans="1:10" x14ac:dyDescent="0.55000000000000004">
      <c r="A13" s="1"/>
      <c r="B13" s="1" t="s">
        <v>1</v>
      </c>
      <c r="C13" s="1" t="s">
        <v>3</v>
      </c>
      <c r="D13" s="1" t="s">
        <v>1</v>
      </c>
      <c r="E13" s="1" t="s">
        <v>3</v>
      </c>
      <c r="F13" s="1" t="s">
        <v>1</v>
      </c>
      <c r="G13" s="1" t="s">
        <v>3</v>
      </c>
      <c r="H13" s="1" t="s">
        <v>1</v>
      </c>
      <c r="I13" s="1" t="s">
        <v>3</v>
      </c>
    </row>
    <row r="14" spans="1:10" x14ac:dyDescent="0.55000000000000004">
      <c r="A14" s="1" t="s">
        <v>87</v>
      </c>
      <c r="B14" s="1">
        <v>0.26190000000000002</v>
      </c>
      <c r="C14" s="1">
        <v>-0.11269999999999999</v>
      </c>
      <c r="D14" s="1">
        <v>0.25779999999999997</v>
      </c>
      <c r="E14" s="1">
        <v>2.24E-2</v>
      </c>
      <c r="F14" s="1">
        <v>0.25309999999999999</v>
      </c>
      <c r="G14" s="1">
        <v>4.5400000000000003E-2</v>
      </c>
      <c r="H14" s="1">
        <v>0.2545</v>
      </c>
      <c r="I14" s="1">
        <v>3.6600000000000001E-2</v>
      </c>
      <c r="J14" t="s">
        <v>106</v>
      </c>
    </row>
    <row r="15" spans="1:10" x14ac:dyDescent="0.55000000000000004">
      <c r="A15" s="1" t="s">
        <v>10</v>
      </c>
      <c r="B15" s="1">
        <v>0.24179999999999999</v>
      </c>
      <c r="C15" s="1">
        <v>9.5000000000000001E-2</v>
      </c>
      <c r="D15" s="1">
        <v>0.23480000000000001</v>
      </c>
      <c r="E15" s="1">
        <v>0.14699999999999999</v>
      </c>
      <c r="F15" s="1">
        <v>0.2162</v>
      </c>
      <c r="G15" s="1">
        <v>0.24709999999999999</v>
      </c>
      <c r="H15" s="1">
        <v>0.21990000000000001</v>
      </c>
      <c r="I15" s="1">
        <v>0.20669999999999999</v>
      </c>
    </row>
    <row r="16" spans="1:10" x14ac:dyDescent="0.55000000000000004">
      <c r="A16" s="1" t="s">
        <v>4</v>
      </c>
      <c r="B16" s="1">
        <v>0.24610000000000001</v>
      </c>
      <c r="C16" s="1">
        <v>4.58E-2</v>
      </c>
      <c r="D16" s="1">
        <v>0.2399</v>
      </c>
      <c r="E16" s="1">
        <v>0.1246</v>
      </c>
      <c r="F16" s="1">
        <v>0.2233</v>
      </c>
      <c r="G16" s="1">
        <v>0.21840000000000001</v>
      </c>
      <c r="H16" s="1">
        <v>0.22639999999999999</v>
      </c>
      <c r="I16" s="1">
        <v>0.185</v>
      </c>
    </row>
    <row r="17" spans="1:9" x14ac:dyDescent="0.55000000000000004">
      <c r="A17" s="1" t="s">
        <v>8</v>
      </c>
      <c r="B17" s="1">
        <v>0.24210000000000001</v>
      </c>
      <c r="C17" s="1">
        <v>6.6100000000000006E-2</v>
      </c>
      <c r="D17" s="1">
        <v>0.23710000000000001</v>
      </c>
      <c r="E17" s="1">
        <v>0.1231</v>
      </c>
      <c r="F17" s="1">
        <v>0.21560000000000001</v>
      </c>
      <c r="G17" s="1">
        <v>0.24540000000000001</v>
      </c>
      <c r="H17" s="1">
        <v>0.21820000000000001</v>
      </c>
      <c r="I17" s="1">
        <v>0.21870000000000001</v>
      </c>
    </row>
    <row r="18" spans="1:9" x14ac:dyDescent="0.55000000000000004">
      <c r="A18" s="1" t="s">
        <v>9</v>
      </c>
      <c r="B18" s="1">
        <v>0.24610000000000001</v>
      </c>
      <c r="C18" s="1">
        <v>2.07E-2</v>
      </c>
      <c r="D18" s="1">
        <v>0.2354</v>
      </c>
      <c r="E18" s="1">
        <v>0.14360000000000001</v>
      </c>
      <c r="F18" s="1">
        <v>0.21540000000000001</v>
      </c>
      <c r="G18" s="1">
        <v>0.2407</v>
      </c>
      <c r="H18" s="1">
        <v>0.21709999999999999</v>
      </c>
      <c r="I18" s="1">
        <v>0.2165</v>
      </c>
    </row>
    <row r="19" spans="1:9" x14ac:dyDescent="0.55000000000000004">
      <c r="A19" s="1" t="s">
        <v>21</v>
      </c>
      <c r="B19" s="1">
        <v>0.23480000000000001</v>
      </c>
      <c r="C19" s="1">
        <v>0.1482</v>
      </c>
      <c r="D19" s="1">
        <v>0.23469999999999999</v>
      </c>
      <c r="E19" s="1">
        <v>0.1484</v>
      </c>
      <c r="F19" s="1">
        <v>0.21560000000000001</v>
      </c>
      <c r="G19" s="1">
        <v>0.24579999999999999</v>
      </c>
      <c r="H19" s="1">
        <v>0.21809999999999999</v>
      </c>
      <c r="I19" s="1">
        <v>0.21360000000000001</v>
      </c>
    </row>
    <row r="20" spans="1:9" x14ac:dyDescent="0.55000000000000004">
      <c r="A20" s="1" t="s">
        <v>15</v>
      </c>
      <c r="B20" s="1">
        <v>0.2351</v>
      </c>
      <c r="C20" s="1">
        <v>0.14360000000000001</v>
      </c>
      <c r="D20" s="1">
        <v>0.23480000000000001</v>
      </c>
      <c r="E20" s="1">
        <v>0.14729999999999999</v>
      </c>
      <c r="F20" s="1">
        <v>0.21540000000000001</v>
      </c>
      <c r="G20" s="1">
        <v>0.2477</v>
      </c>
      <c r="H20" s="1">
        <v>0.21779999999999999</v>
      </c>
      <c r="I20" s="1">
        <v>0.21729999999999999</v>
      </c>
    </row>
    <row r="21" spans="1:9" x14ac:dyDescent="0.55000000000000004">
      <c r="A21" s="1" t="s">
        <v>12</v>
      </c>
      <c r="B21" s="1">
        <v>0.23619999999999999</v>
      </c>
      <c r="C21" s="1">
        <v>0.14349999999999999</v>
      </c>
      <c r="D21" s="1">
        <v>0.2356</v>
      </c>
      <c r="E21" s="1">
        <v>0.1457</v>
      </c>
      <c r="F21" s="1">
        <v>0.21690000000000001</v>
      </c>
      <c r="G21" s="1">
        <v>0.24390000000000001</v>
      </c>
      <c r="H21" s="1">
        <v>0.2195</v>
      </c>
      <c r="I21" s="1">
        <v>0.2099</v>
      </c>
    </row>
    <row r="22" spans="1:9" x14ac:dyDescent="0.55000000000000004">
      <c r="A22" s="1" t="s">
        <v>13</v>
      </c>
      <c r="B22" s="1">
        <v>0.2361</v>
      </c>
      <c r="C22" s="1">
        <v>0.14169999999999999</v>
      </c>
      <c r="D22" s="1">
        <v>0.23549999999999999</v>
      </c>
      <c r="E22" s="1">
        <v>0.1431</v>
      </c>
      <c r="F22" s="1">
        <v>0.216</v>
      </c>
      <c r="G22" s="1">
        <v>0.24590000000000001</v>
      </c>
      <c r="H22" s="1">
        <v>0.21809999999999999</v>
      </c>
      <c r="I22" s="1">
        <v>0.2165</v>
      </c>
    </row>
    <row r="23" spans="1:9" x14ac:dyDescent="0.55000000000000004">
      <c r="A23" s="1" t="s">
        <v>14</v>
      </c>
      <c r="B23" s="1">
        <v>0.23549999999999999</v>
      </c>
      <c r="C23" s="1">
        <v>0.13950000000000001</v>
      </c>
      <c r="D23" s="1">
        <v>0.23499999999999999</v>
      </c>
      <c r="E23" s="1">
        <v>0.14480000000000001</v>
      </c>
      <c r="F23" s="1">
        <v>0.21560000000000001</v>
      </c>
      <c r="G23" s="1">
        <v>0.249</v>
      </c>
      <c r="H23" s="1">
        <v>0.21840000000000001</v>
      </c>
      <c r="I23" s="1">
        <v>0.21540000000000001</v>
      </c>
    </row>
    <row r="24" spans="1:9" x14ac:dyDescent="0.55000000000000004">
      <c r="A24" s="3" t="s">
        <v>58</v>
      </c>
      <c r="B24" s="1">
        <v>0.23569999999999999</v>
      </c>
      <c r="C24" s="1">
        <v>0.13880000000000001</v>
      </c>
      <c r="D24" s="1">
        <v>0.2354</v>
      </c>
      <c r="E24" s="1">
        <v>0.14280000000000001</v>
      </c>
      <c r="F24" s="1">
        <v>0.2152</v>
      </c>
      <c r="G24" s="1">
        <v>0.24579999999999999</v>
      </c>
      <c r="H24" s="1">
        <v>0.21740000000000001</v>
      </c>
      <c r="I24" s="1">
        <v>0.2205</v>
      </c>
    </row>
    <row r="25" spans="1:9" x14ac:dyDescent="0.55000000000000004">
      <c r="B25" t="s">
        <v>62</v>
      </c>
      <c r="C25" t="s">
        <v>63</v>
      </c>
      <c r="D25" t="s">
        <v>64</v>
      </c>
      <c r="E25" t="s">
        <v>65</v>
      </c>
    </row>
    <row r="26" spans="1:9" x14ac:dyDescent="0.55000000000000004">
      <c r="D26" t="s">
        <v>1</v>
      </c>
      <c r="E26" t="s">
        <v>3</v>
      </c>
    </row>
    <row r="27" spans="1:9" x14ac:dyDescent="0.55000000000000004">
      <c r="A27" s="4">
        <v>46085</v>
      </c>
      <c r="B27" t="s">
        <v>12</v>
      </c>
      <c r="D27">
        <v>0.2293</v>
      </c>
      <c r="E27">
        <v>0.13789999999999999</v>
      </c>
    </row>
    <row r="28" spans="1:9" x14ac:dyDescent="0.55000000000000004">
      <c r="A28" s="4">
        <v>46090</v>
      </c>
      <c r="B28" t="s">
        <v>8</v>
      </c>
      <c r="D28">
        <v>0.223</v>
      </c>
      <c r="E28">
        <v>0.1744</v>
      </c>
    </row>
    <row r="29" spans="1:9" x14ac:dyDescent="0.55000000000000004">
      <c r="A29" s="4">
        <v>46098</v>
      </c>
      <c r="B29" t="s">
        <v>14</v>
      </c>
      <c r="D29">
        <v>0.22220000000000001</v>
      </c>
      <c r="E29">
        <v>0.19389999999999999</v>
      </c>
    </row>
    <row r="30" spans="1:9" x14ac:dyDescent="0.55000000000000004">
      <c r="A30" s="4">
        <v>46112</v>
      </c>
      <c r="B30" t="s">
        <v>14</v>
      </c>
      <c r="D30">
        <v>0.21970000000000001</v>
      </c>
      <c r="E30">
        <v>0.20610000000000001</v>
      </c>
      <c r="G30" s="5"/>
    </row>
    <row r="31" spans="1:9" x14ac:dyDescent="0.55000000000000004">
      <c r="A31" s="4">
        <v>46151</v>
      </c>
      <c r="B31" t="s">
        <v>58</v>
      </c>
      <c r="D31">
        <v>0.21909999999999999</v>
      </c>
      <c r="E31" s="10">
        <v>0.2026</v>
      </c>
      <c r="H31">
        <f>D33*25</f>
        <v>5.4350000000000005</v>
      </c>
    </row>
    <row r="32" spans="1:9" x14ac:dyDescent="0.55000000000000004">
      <c r="A32" s="4">
        <v>46154</v>
      </c>
      <c r="B32" t="s">
        <v>58</v>
      </c>
      <c r="D32">
        <v>0.21790000000000001</v>
      </c>
      <c r="E32">
        <v>0.21060000000000001</v>
      </c>
    </row>
    <row r="33" spans="1:5" x14ac:dyDescent="0.55000000000000004">
      <c r="A33" s="4">
        <v>46169</v>
      </c>
      <c r="B33" t="s">
        <v>58</v>
      </c>
      <c r="D33">
        <v>0.21740000000000001</v>
      </c>
      <c r="E33">
        <v>0.2205</v>
      </c>
    </row>
  </sheetData>
  <mergeCells count="8">
    <mergeCell ref="D1:E1"/>
    <mergeCell ref="F1:G1"/>
    <mergeCell ref="H1:I1"/>
    <mergeCell ref="B1:C1"/>
    <mergeCell ref="B12:C12"/>
    <mergeCell ref="D12:E12"/>
    <mergeCell ref="F12:G12"/>
    <mergeCell ref="H12:I12"/>
  </mergeCells>
  <conditionalFormatting sqref="B3:B10">
    <cfRule type="top10" dxfId="32" priority="57" bottom="1" rank="1"/>
  </conditionalFormatting>
  <conditionalFormatting sqref="B14:B24">
    <cfRule type="top10" dxfId="31" priority="99" bottom="1" rank="1"/>
  </conditionalFormatting>
  <conditionalFormatting sqref="C3:C10">
    <cfRule type="top10" dxfId="30" priority="56" rank="1"/>
  </conditionalFormatting>
  <conditionalFormatting sqref="C14:C24">
    <cfRule type="top10" dxfId="29" priority="101" rank="1"/>
  </conditionalFormatting>
  <conditionalFormatting sqref="D3:D10">
    <cfRule type="top10" dxfId="28" priority="12" bottom="1" rank="1"/>
  </conditionalFormatting>
  <conditionalFormatting sqref="D14:D24">
    <cfRule type="top10" dxfId="27" priority="6" bottom="1" rank="1"/>
  </conditionalFormatting>
  <conditionalFormatting sqref="E3:E10">
    <cfRule type="top10" dxfId="26" priority="9" rank="1"/>
  </conditionalFormatting>
  <conditionalFormatting sqref="E14:E24">
    <cfRule type="top10" dxfId="25" priority="3" rank="1"/>
  </conditionalFormatting>
  <conditionalFormatting sqref="F3:F10">
    <cfRule type="top10" dxfId="24" priority="11" bottom="1" rank="1"/>
  </conditionalFormatting>
  <conditionalFormatting sqref="F14:F24">
    <cfRule type="top10" dxfId="23" priority="5" bottom="1" rank="1"/>
  </conditionalFormatting>
  <conditionalFormatting sqref="G3:G10">
    <cfRule type="top10" dxfId="22" priority="8" rank="1"/>
  </conditionalFormatting>
  <conditionalFormatting sqref="G14:G24">
    <cfRule type="top10" dxfId="21" priority="2" rank="1"/>
  </conditionalFormatting>
  <conditionalFormatting sqref="H3:H10">
    <cfRule type="top10" dxfId="20" priority="10" bottom="1" rank="1"/>
  </conditionalFormatting>
  <conditionalFormatting sqref="H14:H24">
    <cfRule type="top10" dxfId="19" priority="4" bottom="1" rank="1"/>
  </conditionalFormatting>
  <conditionalFormatting sqref="I3:I10">
    <cfRule type="top10" dxfId="18" priority="7" rank="1"/>
  </conditionalFormatting>
  <conditionalFormatting sqref="I14:I24">
    <cfRule type="top10" dxfId="17" priority="1" rank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0BC0-64DC-411B-A1B1-FAD28F14CD71}">
  <dimension ref="A1:T29"/>
  <sheetViews>
    <sheetView topLeftCell="A4" workbookViewId="0">
      <selection activeCell="G29" sqref="G29"/>
    </sheetView>
  </sheetViews>
  <sheetFormatPr defaultRowHeight="14.4" x14ac:dyDescent="0.55000000000000004"/>
  <cols>
    <col min="1" max="1" width="10.20703125" bestFit="1" customWidth="1"/>
    <col min="2" max="2" width="10.578125" customWidth="1"/>
  </cols>
  <sheetData>
    <row r="1" spans="1:20" ht="34.200000000000003" customHeight="1" x14ac:dyDescent="0.55000000000000004">
      <c r="A1" s="2" t="s">
        <v>0</v>
      </c>
      <c r="B1" s="16" t="s">
        <v>2</v>
      </c>
      <c r="C1" s="17"/>
      <c r="D1" s="14" t="s">
        <v>7</v>
      </c>
      <c r="E1" s="14"/>
      <c r="F1" s="15" t="s">
        <v>5</v>
      </c>
      <c r="G1" s="15"/>
      <c r="H1" s="15" t="s">
        <v>6</v>
      </c>
      <c r="I1" s="15"/>
      <c r="L1" s="2" t="s">
        <v>0</v>
      </c>
      <c r="M1" s="16" t="s">
        <v>2</v>
      </c>
      <c r="N1" s="17"/>
      <c r="O1" s="14" t="s">
        <v>7</v>
      </c>
      <c r="P1" s="14"/>
      <c r="Q1" s="15" t="s">
        <v>5</v>
      </c>
      <c r="R1" s="15"/>
      <c r="S1" s="15" t="s">
        <v>6</v>
      </c>
      <c r="T1" s="15"/>
    </row>
    <row r="2" spans="1:20" x14ac:dyDescent="0.55000000000000004">
      <c r="A2" s="1"/>
      <c r="B2" s="1" t="s">
        <v>1</v>
      </c>
      <c r="C2" s="1" t="s">
        <v>3</v>
      </c>
      <c r="D2" s="1" t="s">
        <v>1</v>
      </c>
      <c r="E2" s="1" t="s">
        <v>3</v>
      </c>
      <c r="F2" s="1" t="s">
        <v>1</v>
      </c>
      <c r="G2" s="1" t="s">
        <v>3</v>
      </c>
      <c r="H2" s="1" t="s">
        <v>1</v>
      </c>
      <c r="I2" s="1" t="s">
        <v>3</v>
      </c>
      <c r="L2" s="1"/>
      <c r="M2" s="1" t="s">
        <v>1</v>
      </c>
      <c r="N2" s="1" t="s">
        <v>3</v>
      </c>
      <c r="O2" s="1" t="s">
        <v>1</v>
      </c>
      <c r="P2" s="1" t="s">
        <v>3</v>
      </c>
      <c r="Q2" s="1" t="s">
        <v>1</v>
      </c>
      <c r="R2" s="1" t="s">
        <v>3</v>
      </c>
      <c r="S2" s="1" t="s">
        <v>1</v>
      </c>
      <c r="T2" s="1" t="s">
        <v>3</v>
      </c>
    </row>
    <row r="3" spans="1:20" x14ac:dyDescent="0.55000000000000004">
      <c r="A3" s="1" t="s">
        <v>16</v>
      </c>
      <c r="B3" s="1"/>
      <c r="C3" s="1"/>
      <c r="D3" s="1"/>
      <c r="E3" s="1"/>
      <c r="F3" s="1"/>
      <c r="G3" s="1"/>
      <c r="H3" s="1"/>
      <c r="I3" s="1"/>
      <c r="J3" t="s">
        <v>106</v>
      </c>
      <c r="L3" s="1" t="s">
        <v>19</v>
      </c>
      <c r="M3" s="1">
        <v>0.22220000000000001</v>
      </c>
      <c r="N3" s="1">
        <v>0.1988</v>
      </c>
      <c r="O3" s="1">
        <v>0.22209999999999999</v>
      </c>
      <c r="P3" s="1">
        <v>0.21129999999999999</v>
      </c>
      <c r="Q3" s="1">
        <v>0.1973</v>
      </c>
      <c r="R3" s="1">
        <v>0.34389999999999998</v>
      </c>
      <c r="S3" s="1">
        <v>0.1888</v>
      </c>
      <c r="T3" s="1">
        <v>0.38550000000000001</v>
      </c>
    </row>
    <row r="4" spans="1:20" x14ac:dyDescent="0.55000000000000004">
      <c r="A4" s="1" t="s">
        <v>17</v>
      </c>
      <c r="B4" s="1">
        <v>0.23419999999999999</v>
      </c>
      <c r="C4" s="1">
        <v>0.14219999999999999</v>
      </c>
      <c r="D4" s="1">
        <v>0.2296</v>
      </c>
      <c r="E4" s="1">
        <v>0.1772</v>
      </c>
      <c r="F4" s="1">
        <v>0.2114</v>
      </c>
      <c r="G4" s="1">
        <v>0.27800000000000002</v>
      </c>
      <c r="H4" s="1">
        <v>0.2084</v>
      </c>
      <c r="I4" s="1">
        <v>0.2732</v>
      </c>
      <c r="L4" s="1" t="s">
        <v>18</v>
      </c>
      <c r="M4" s="1">
        <v>0.22239999999999999</v>
      </c>
      <c r="N4" s="1">
        <v>0.19869999999999999</v>
      </c>
      <c r="O4" s="1">
        <v>0.23130000000000001</v>
      </c>
      <c r="P4" s="1">
        <v>0.1802</v>
      </c>
      <c r="Q4" s="1">
        <v>0.20019999999999999</v>
      </c>
      <c r="R4" s="1">
        <v>0.33200000000000002</v>
      </c>
      <c r="S4" s="1">
        <v>0.1968</v>
      </c>
      <c r="T4" s="1">
        <v>0.34820000000000001</v>
      </c>
    </row>
    <row r="5" spans="1:20" x14ac:dyDescent="0.55000000000000004">
      <c r="A5" s="1" t="s">
        <v>18</v>
      </c>
      <c r="B5" s="1">
        <v>0.23430000000000001</v>
      </c>
      <c r="C5" s="1">
        <v>0.1153</v>
      </c>
      <c r="D5" s="1">
        <v>0.2336</v>
      </c>
      <c r="E5" s="1">
        <v>0.16339999999999999</v>
      </c>
      <c r="F5" s="1">
        <v>0.21759999999999999</v>
      </c>
      <c r="G5" s="1">
        <v>0.25619999999999998</v>
      </c>
      <c r="H5" s="1">
        <v>0.21510000000000001</v>
      </c>
      <c r="I5" s="1">
        <v>0.24970000000000001</v>
      </c>
      <c r="L5" s="1" t="s">
        <v>20</v>
      </c>
      <c r="M5" s="1">
        <v>0.22500000000000001</v>
      </c>
      <c r="N5" s="1">
        <v>0.19089999999999999</v>
      </c>
      <c r="O5" s="1">
        <v>0.22850000000000001</v>
      </c>
      <c r="P5" s="1">
        <v>0.18329999999999999</v>
      </c>
      <c r="Q5" s="1">
        <v>0.1986</v>
      </c>
      <c r="R5" s="1">
        <v>0.32479999999999998</v>
      </c>
      <c r="S5" s="1">
        <v>0.1898</v>
      </c>
      <c r="T5" s="1">
        <v>0.37669999999999998</v>
      </c>
    </row>
    <row r="6" spans="1:20" x14ac:dyDescent="0.55000000000000004">
      <c r="A6" s="1" t="s">
        <v>19</v>
      </c>
      <c r="B6" s="1">
        <v>0.23400000000000001</v>
      </c>
      <c r="C6" s="1">
        <v>0.1096</v>
      </c>
      <c r="D6" s="1">
        <v>0.22850000000000001</v>
      </c>
      <c r="E6" s="1">
        <v>0.1668</v>
      </c>
      <c r="F6" s="1">
        <v>0.2059</v>
      </c>
      <c r="G6" s="1">
        <v>0.2863</v>
      </c>
      <c r="H6" s="1">
        <v>0.20300000000000001</v>
      </c>
      <c r="I6" s="1">
        <v>0.2863</v>
      </c>
      <c r="L6" s="1" t="s">
        <v>17</v>
      </c>
      <c r="M6" s="1">
        <v>0.2301</v>
      </c>
      <c r="N6" s="1">
        <v>0.1618</v>
      </c>
      <c r="O6" s="1">
        <v>0.2283</v>
      </c>
      <c r="P6" s="1">
        <v>0.186</v>
      </c>
      <c r="Q6" s="1">
        <v>0.2107</v>
      </c>
      <c r="R6" s="1">
        <v>0.28199999999999997</v>
      </c>
      <c r="S6" s="1">
        <v>0.20830000000000001</v>
      </c>
      <c r="T6" s="1">
        <v>0.27650000000000002</v>
      </c>
    </row>
    <row r="7" spans="1:20" x14ac:dyDescent="0.55000000000000004">
      <c r="A7" s="3" t="s">
        <v>20</v>
      </c>
      <c r="B7" s="1">
        <v>0.23780000000000001</v>
      </c>
      <c r="C7" s="1">
        <v>7.7399999999999997E-2</v>
      </c>
      <c r="D7" s="1">
        <v>0.22869999999999999</v>
      </c>
      <c r="E7" s="1">
        <v>0.17749999999999999</v>
      </c>
      <c r="F7" s="1">
        <v>0.2074</v>
      </c>
      <c r="G7" s="1">
        <v>0.28320000000000001</v>
      </c>
      <c r="H7" s="1">
        <v>0.2039</v>
      </c>
      <c r="I7" s="1">
        <v>0.2883</v>
      </c>
      <c r="L7" s="1" t="s">
        <v>99</v>
      </c>
      <c r="M7" s="1">
        <v>0.22550000000000001</v>
      </c>
      <c r="N7" s="1">
        <v>0.18779999999999999</v>
      </c>
      <c r="O7" s="1">
        <v>0.22539999999999999</v>
      </c>
      <c r="P7" s="1">
        <v>0.1883</v>
      </c>
      <c r="Q7" s="11">
        <v>0.2039</v>
      </c>
      <c r="R7" s="1">
        <v>0.28210000000000002</v>
      </c>
      <c r="S7" s="1">
        <v>0.20380000000000001</v>
      </c>
      <c r="T7" s="1">
        <v>0.2828</v>
      </c>
    </row>
    <row r="8" spans="1:20" x14ac:dyDescent="0.55000000000000004">
      <c r="A8" s="1" t="s">
        <v>24</v>
      </c>
      <c r="B8" s="1"/>
      <c r="C8" s="1"/>
      <c r="D8" s="1"/>
      <c r="E8" s="1"/>
      <c r="F8" s="1"/>
      <c r="G8" s="1"/>
      <c r="H8" s="1"/>
      <c r="I8" s="1"/>
      <c r="J8" t="s">
        <v>106</v>
      </c>
      <c r="L8" s="1" t="s">
        <v>24</v>
      </c>
      <c r="M8" s="1">
        <v>0.2263</v>
      </c>
      <c r="N8" s="1">
        <v>0.18579999999999999</v>
      </c>
      <c r="O8" s="1">
        <v>0.22539999999999999</v>
      </c>
      <c r="P8" s="1">
        <v>0.18820000000000001</v>
      </c>
      <c r="Q8" s="1">
        <v>0.20399999999999999</v>
      </c>
      <c r="R8" s="1">
        <v>0.28210000000000002</v>
      </c>
      <c r="S8" s="1">
        <v>0.2039</v>
      </c>
      <c r="T8" s="1">
        <v>0.28220000000000001</v>
      </c>
    </row>
    <row r="9" spans="1:20" x14ac:dyDescent="0.55000000000000004">
      <c r="A9" s="1" t="s">
        <v>21</v>
      </c>
      <c r="B9" s="1">
        <v>0.2288</v>
      </c>
      <c r="C9" s="1">
        <v>0.18079999999999999</v>
      </c>
      <c r="D9" s="1">
        <v>0.2288</v>
      </c>
      <c r="E9" s="1">
        <v>0.18079999999999999</v>
      </c>
      <c r="F9" s="1">
        <v>0.2092</v>
      </c>
      <c r="G9" s="1">
        <v>0.28360000000000002</v>
      </c>
      <c r="H9" s="1">
        <v>0.20530000000000001</v>
      </c>
      <c r="I9" s="1">
        <v>0.28370000000000001</v>
      </c>
      <c r="L9" s="1" t="s">
        <v>100</v>
      </c>
      <c r="M9" s="1">
        <v>0.23519999999999999</v>
      </c>
      <c r="N9" s="1">
        <v>9.1399999999999995E-2</v>
      </c>
      <c r="O9" s="1">
        <v>0.2344</v>
      </c>
      <c r="P9" s="1">
        <v>8.7999999999999995E-2</v>
      </c>
      <c r="Q9" s="1">
        <v>0.21260000000000001</v>
      </c>
      <c r="R9" s="1">
        <v>0.21110000000000001</v>
      </c>
      <c r="S9" s="1">
        <v>0.20580000000000001</v>
      </c>
      <c r="T9" s="1">
        <v>0.25769999999999998</v>
      </c>
    </row>
    <row r="10" spans="1:20" x14ac:dyDescent="0.55000000000000004">
      <c r="A10" s="1" t="s">
        <v>22</v>
      </c>
      <c r="B10" s="1">
        <v>0.2283</v>
      </c>
      <c r="C10" s="1">
        <v>0.18060000000000001</v>
      </c>
      <c r="D10" s="1">
        <v>0.2286</v>
      </c>
      <c r="E10" s="1">
        <v>0.18129999999999999</v>
      </c>
      <c r="F10" s="1">
        <v>0.2087</v>
      </c>
      <c r="G10" s="1">
        <v>0.28510000000000002</v>
      </c>
      <c r="H10" s="1">
        <v>0.2049</v>
      </c>
      <c r="I10" s="1">
        <v>0.28360000000000002</v>
      </c>
      <c r="L10" s="1" t="s">
        <v>103</v>
      </c>
      <c r="M10" s="1">
        <v>0.221</v>
      </c>
      <c r="N10" s="1">
        <v>0.21590000000000001</v>
      </c>
      <c r="O10" s="1">
        <v>0.221</v>
      </c>
      <c r="P10" s="1">
        <v>0.2177</v>
      </c>
      <c r="Q10" s="1">
        <v>0.19620000000000001</v>
      </c>
      <c r="R10" s="1">
        <v>0.35010000000000002</v>
      </c>
      <c r="S10" s="1">
        <v>0.1875</v>
      </c>
      <c r="T10" s="1">
        <v>0.39500000000000002</v>
      </c>
    </row>
    <row r="11" spans="1:20" x14ac:dyDescent="0.55000000000000004">
      <c r="A11" s="1" t="s">
        <v>52</v>
      </c>
      <c r="B11" s="1"/>
      <c r="C11" s="1"/>
      <c r="D11" s="1"/>
      <c r="E11" s="1"/>
      <c r="F11" s="1"/>
      <c r="G11" s="1"/>
      <c r="H11" s="1"/>
      <c r="I11" s="1"/>
      <c r="J11" t="s">
        <v>106</v>
      </c>
      <c r="L11" s="1" t="s">
        <v>61</v>
      </c>
      <c r="M11" s="1">
        <v>0.22259999999999999</v>
      </c>
      <c r="N11" s="1">
        <v>0.21049999999999999</v>
      </c>
      <c r="O11" s="1">
        <v>0.22209999999999999</v>
      </c>
      <c r="P11" s="1">
        <v>0.21229999999999999</v>
      </c>
      <c r="Q11" s="1">
        <v>0.19739999999999999</v>
      </c>
      <c r="R11" s="1">
        <v>0.34599999999999997</v>
      </c>
      <c r="S11" s="1">
        <v>0.19020000000000001</v>
      </c>
      <c r="T11" s="1">
        <v>0.38279999999999997</v>
      </c>
    </row>
    <row r="12" spans="1:20" x14ac:dyDescent="0.55000000000000004">
      <c r="A12" s="1" t="s">
        <v>53</v>
      </c>
      <c r="B12" s="1"/>
      <c r="C12" s="1"/>
      <c r="D12" s="1"/>
      <c r="E12" s="1"/>
      <c r="F12" s="1"/>
      <c r="G12" s="1"/>
      <c r="H12" s="1"/>
      <c r="I12" s="1"/>
      <c r="J12" t="s">
        <v>106</v>
      </c>
      <c r="L12" s="1" t="s">
        <v>104</v>
      </c>
      <c r="M12" s="1">
        <v>0.22189999999999999</v>
      </c>
      <c r="N12" s="1">
        <v>0.2102</v>
      </c>
      <c r="O12" s="1">
        <v>0.222</v>
      </c>
      <c r="P12" s="1">
        <v>0.2104</v>
      </c>
      <c r="Q12" s="1">
        <v>0.1978</v>
      </c>
      <c r="R12" s="1">
        <v>0.34239999999999998</v>
      </c>
      <c r="S12" s="1">
        <v>0.1918</v>
      </c>
      <c r="T12" s="1">
        <v>0.37859999999999999</v>
      </c>
    </row>
    <row r="13" spans="1:20" x14ac:dyDescent="0.55000000000000004">
      <c r="A13" s="1" t="s">
        <v>23</v>
      </c>
      <c r="B13" s="1"/>
      <c r="C13" s="1"/>
      <c r="D13" s="1"/>
      <c r="E13" s="1"/>
      <c r="F13" s="1"/>
      <c r="G13" s="1"/>
      <c r="H13" s="1"/>
      <c r="I13" s="1"/>
      <c r="J13" t="s">
        <v>106</v>
      </c>
      <c r="L13" s="1" t="s">
        <v>105</v>
      </c>
      <c r="M13" s="1">
        <v>0.2215</v>
      </c>
      <c r="N13" s="1">
        <v>0.2162</v>
      </c>
      <c r="O13" s="1">
        <v>0.22109999999999999</v>
      </c>
      <c r="P13" s="1">
        <v>0.2177</v>
      </c>
      <c r="Q13" s="1">
        <v>0.1963</v>
      </c>
      <c r="R13" s="1">
        <v>0.35039999999999999</v>
      </c>
      <c r="S13" s="1">
        <v>0.18820000000000001</v>
      </c>
      <c r="T13" s="1">
        <v>0.39340000000000003</v>
      </c>
    </row>
    <row r="14" spans="1:20" x14ac:dyDescent="0.55000000000000004">
      <c r="A14" s="1" t="s">
        <v>56</v>
      </c>
      <c r="B14" s="1">
        <v>0.23</v>
      </c>
      <c r="C14" s="1">
        <v>0.17849999999999999</v>
      </c>
      <c r="D14" s="1">
        <v>0.22950000000000001</v>
      </c>
      <c r="E14" s="1">
        <v>0.17979999999999999</v>
      </c>
      <c r="F14" s="1">
        <v>0.21049999999999999</v>
      </c>
      <c r="G14" s="1">
        <v>0.28089999999999998</v>
      </c>
      <c r="H14" s="1">
        <v>0.2069</v>
      </c>
      <c r="I14" s="1">
        <v>0.27879999999999999</v>
      </c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55000000000000004">
      <c r="A15" s="1" t="s">
        <v>60</v>
      </c>
      <c r="B15" s="1">
        <v>0.2293</v>
      </c>
      <c r="C15" s="1">
        <v>0.1797</v>
      </c>
      <c r="D15" s="1">
        <v>0.2286</v>
      </c>
      <c r="E15" s="1">
        <v>0.1807</v>
      </c>
      <c r="F15" s="1">
        <v>0.2082</v>
      </c>
      <c r="G15" s="1">
        <v>0.28620000000000001</v>
      </c>
      <c r="H15" s="1">
        <v>0.20469999999999999</v>
      </c>
      <c r="I15" s="1">
        <v>0.28270000000000001</v>
      </c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55000000000000004">
      <c r="A16" s="1" t="s">
        <v>54</v>
      </c>
      <c r="B16" s="1">
        <v>0.22850000000000001</v>
      </c>
      <c r="C16" s="1">
        <v>0.17780000000000001</v>
      </c>
      <c r="D16" s="1">
        <v>0.22889999999999999</v>
      </c>
      <c r="E16" s="1">
        <v>0.17899999999999999</v>
      </c>
      <c r="F16" s="1">
        <v>0.20830000000000001</v>
      </c>
      <c r="G16" s="1">
        <v>0.28599999999999998</v>
      </c>
      <c r="H16" s="1">
        <v>0.2051</v>
      </c>
      <c r="I16" s="1">
        <v>0.27860000000000001</v>
      </c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55000000000000004">
      <c r="A17" s="1" t="s">
        <v>57</v>
      </c>
      <c r="B17" s="1">
        <v>0.22800000000000001</v>
      </c>
      <c r="C17" s="1">
        <v>0.1782</v>
      </c>
      <c r="D17" s="1">
        <v>0.2283</v>
      </c>
      <c r="E17" s="1">
        <v>0.17929999999999999</v>
      </c>
      <c r="F17" s="1">
        <v>0.2069</v>
      </c>
      <c r="G17" s="1">
        <v>0.2863</v>
      </c>
      <c r="H17" s="1">
        <v>0.2034</v>
      </c>
      <c r="I17" s="1">
        <v>0.28699999999999998</v>
      </c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55000000000000004">
      <c r="A18" s="1" t="s">
        <v>55</v>
      </c>
      <c r="B18" s="1"/>
      <c r="C18" s="1"/>
      <c r="D18" s="1"/>
      <c r="E18" s="1"/>
      <c r="F18" s="1"/>
      <c r="G18" s="1"/>
      <c r="H18" s="1"/>
      <c r="I18" s="1"/>
      <c r="J18" t="s">
        <v>106</v>
      </c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55000000000000004">
      <c r="A19" s="1" t="s">
        <v>59</v>
      </c>
      <c r="B19" s="1">
        <v>0.23050000000000001</v>
      </c>
      <c r="C19" s="1">
        <v>0.17710000000000001</v>
      </c>
      <c r="D19" s="1">
        <v>0.22939999999999999</v>
      </c>
      <c r="E19" s="1">
        <v>0.17899999999999999</v>
      </c>
      <c r="F19" s="1">
        <v>0.2094</v>
      </c>
      <c r="G19" s="1">
        <v>0.28220000000000001</v>
      </c>
      <c r="H19" s="1">
        <v>0.20580000000000001</v>
      </c>
      <c r="I19" s="1">
        <v>0.28310000000000002</v>
      </c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55000000000000004">
      <c r="A20" s="1" t="s">
        <v>61</v>
      </c>
      <c r="B20" s="1">
        <v>0.23019999999999999</v>
      </c>
      <c r="C20" s="1">
        <v>0.1741</v>
      </c>
      <c r="D20" s="1">
        <v>0.2298</v>
      </c>
      <c r="E20" s="1">
        <v>0.17419999999999999</v>
      </c>
      <c r="F20" s="1">
        <v>0.21010000000000001</v>
      </c>
      <c r="G20" s="1">
        <v>0.28220000000000001</v>
      </c>
      <c r="H20" s="1">
        <v>0.20710000000000001</v>
      </c>
      <c r="I20" s="1">
        <v>0.2702</v>
      </c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55000000000000004">
      <c r="C21" t="s">
        <v>62</v>
      </c>
      <c r="D21" t="s">
        <v>63</v>
      </c>
      <c r="E21" t="s">
        <v>64</v>
      </c>
      <c r="F21" t="s">
        <v>65</v>
      </c>
      <c r="M21" t="s">
        <v>64</v>
      </c>
      <c r="N21" t="s">
        <v>18</v>
      </c>
      <c r="O21" t="s">
        <v>20</v>
      </c>
      <c r="P21" t="s">
        <v>62</v>
      </c>
      <c r="Q21" t="s">
        <v>101</v>
      </c>
      <c r="R21" t="s">
        <v>102</v>
      </c>
    </row>
    <row r="22" spans="1:20" x14ac:dyDescent="0.55000000000000004">
      <c r="C22" t="s">
        <v>1</v>
      </c>
      <c r="D22" t="s">
        <v>3</v>
      </c>
    </row>
    <row r="23" spans="1:20" x14ac:dyDescent="0.55000000000000004">
      <c r="A23" s="4">
        <v>46085</v>
      </c>
      <c r="B23" t="s">
        <v>59</v>
      </c>
      <c r="C23">
        <v>0.2147</v>
      </c>
      <c r="D23">
        <v>0.2006</v>
      </c>
    </row>
    <row r="24" spans="1:20" x14ac:dyDescent="0.55000000000000004">
      <c r="A24" s="4">
        <v>46090</v>
      </c>
      <c r="B24" t="s">
        <v>61</v>
      </c>
      <c r="C24">
        <v>0.2142</v>
      </c>
      <c r="D24">
        <v>0.2334</v>
      </c>
    </row>
    <row r="25" spans="1:20" x14ac:dyDescent="0.55000000000000004">
      <c r="A25" s="4">
        <v>46098</v>
      </c>
      <c r="B25" t="s">
        <v>53</v>
      </c>
      <c r="C25">
        <v>0.20810000000000001</v>
      </c>
      <c r="D25">
        <v>0.24890000000000001</v>
      </c>
    </row>
    <row r="26" spans="1:20" x14ac:dyDescent="0.55000000000000004">
      <c r="A26" s="4">
        <v>46112</v>
      </c>
      <c r="B26" t="s">
        <v>53</v>
      </c>
      <c r="C26">
        <v>0.2056</v>
      </c>
      <c r="D26">
        <v>0.2727</v>
      </c>
    </row>
    <row r="27" spans="1:20" x14ac:dyDescent="0.55000000000000004">
      <c r="A27" s="4">
        <v>46151</v>
      </c>
      <c r="B27" t="s">
        <v>53</v>
      </c>
      <c r="C27">
        <v>0.20519999999999999</v>
      </c>
      <c r="D27">
        <v>0.27210000000000001</v>
      </c>
      <c r="J27" s="5"/>
    </row>
    <row r="28" spans="1:20" x14ac:dyDescent="0.55000000000000004">
      <c r="A28" s="4">
        <v>46154</v>
      </c>
      <c r="B28" t="s">
        <v>53</v>
      </c>
      <c r="C28">
        <v>0.20250000000000001</v>
      </c>
      <c r="D28">
        <v>0.27860000000000001</v>
      </c>
    </row>
    <row r="29" spans="1:20" x14ac:dyDescent="0.55000000000000004">
      <c r="A29" s="4">
        <v>46169</v>
      </c>
      <c r="B29" t="s">
        <v>20</v>
      </c>
      <c r="C29">
        <v>0.2039</v>
      </c>
      <c r="D29">
        <v>0.2883</v>
      </c>
    </row>
  </sheetData>
  <mergeCells count="8">
    <mergeCell ref="O1:P1"/>
    <mergeCell ref="Q1:R1"/>
    <mergeCell ref="S1:T1"/>
    <mergeCell ref="B1:C1"/>
    <mergeCell ref="D1:E1"/>
    <mergeCell ref="F1:G1"/>
    <mergeCell ref="H1:I1"/>
    <mergeCell ref="M1:N1"/>
  </mergeCells>
  <conditionalFormatting sqref="B3:B21">
    <cfRule type="top10" dxfId="16" priority="54" bottom="1" rank="1"/>
  </conditionalFormatting>
  <conditionalFormatting sqref="C3:C21">
    <cfRule type="top10" dxfId="15" priority="125" rank="1"/>
  </conditionalFormatting>
  <conditionalFormatting sqref="D3:D21 D24:D29">
    <cfRule type="top10" dxfId="14" priority="14" bottom="1" rank="1"/>
  </conditionalFormatting>
  <conditionalFormatting sqref="E3:E21">
    <cfRule type="top10" dxfId="13" priority="11" rank="1"/>
  </conditionalFormatting>
  <conditionalFormatting sqref="E23">
    <cfRule type="top10" dxfId="12" priority="22" rank="1"/>
  </conditionalFormatting>
  <conditionalFormatting sqref="F3:F21">
    <cfRule type="top10" dxfId="11" priority="13" bottom="1" rank="1"/>
  </conditionalFormatting>
  <conditionalFormatting sqref="G3:G21">
    <cfRule type="top10" dxfId="10" priority="10" rank="1"/>
  </conditionalFormatting>
  <conditionalFormatting sqref="H3:H21">
    <cfRule type="top10" dxfId="9" priority="12" bottom="1" rank="1"/>
  </conditionalFormatting>
  <conditionalFormatting sqref="I3:I21">
    <cfRule type="top10" dxfId="8" priority="9" rank="1"/>
  </conditionalFormatting>
  <conditionalFormatting sqref="M3:M20">
    <cfRule type="top10" dxfId="7" priority="7" bottom="1" rank="1"/>
  </conditionalFormatting>
  <conditionalFormatting sqref="N3:N20">
    <cfRule type="top10" dxfId="6" priority="8" rank="1"/>
  </conditionalFormatting>
  <conditionalFormatting sqref="O3:O20">
    <cfRule type="top10" dxfId="5" priority="6" bottom="1" rank="1"/>
  </conditionalFormatting>
  <conditionalFormatting sqref="P3:P20">
    <cfRule type="top10" dxfId="4" priority="3" rank="1"/>
  </conditionalFormatting>
  <conditionalFormatting sqref="Q3:Q20">
    <cfRule type="top10" dxfId="3" priority="5" bottom="1" rank="1"/>
  </conditionalFormatting>
  <conditionalFormatting sqref="R3:R20">
    <cfRule type="top10" dxfId="2" priority="2" rank="1"/>
  </conditionalFormatting>
  <conditionalFormatting sqref="S3:S20">
    <cfRule type="top10" dxfId="1" priority="4" bottom="1" rank="1"/>
  </conditionalFormatting>
  <conditionalFormatting sqref="T3:T20">
    <cfRule type="top10" dxfId="0" priority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126BF-468F-45B0-90F5-005D8BFD087E}">
  <dimension ref="A1:Q357"/>
  <sheetViews>
    <sheetView zoomScale="85" zoomScaleNormal="90" workbookViewId="0">
      <pane ySplit="1" topLeftCell="A256" activePane="bottomLeft" state="frozen"/>
      <selection pane="bottomLeft" activeCell="O273" sqref="O273"/>
    </sheetView>
  </sheetViews>
  <sheetFormatPr defaultRowHeight="14.4" x14ac:dyDescent="0.55000000000000004"/>
  <cols>
    <col min="1" max="1" width="17.20703125" bestFit="1" customWidth="1"/>
    <col min="5" max="5" width="10.68359375" bestFit="1" customWidth="1"/>
    <col min="6" max="6" width="9.47265625" bestFit="1" customWidth="1"/>
    <col min="7" max="7" width="6.83984375" bestFit="1" customWidth="1"/>
    <col min="8" max="8" width="10.3125" bestFit="1" customWidth="1"/>
    <col min="9" max="9" width="19.5234375" bestFit="1" customWidth="1"/>
    <col min="10" max="10" width="8.47265625" bestFit="1" customWidth="1"/>
    <col min="11" max="11" width="8.3671875" bestFit="1" customWidth="1"/>
    <col min="13" max="13" width="17.20703125" bestFit="1" customWidth="1"/>
    <col min="14" max="14" width="17.3125" bestFit="1" customWidth="1"/>
    <col min="15" max="15" width="17.20703125" bestFit="1" customWidth="1"/>
    <col min="16" max="16" width="17.26171875" customWidth="1"/>
    <col min="18" max="18" width="10.68359375" bestFit="1" customWidth="1"/>
    <col min="19" max="19" width="9.472656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7">
        <v>8.16</v>
      </c>
      <c r="C2" s="7">
        <f>B2-L2</f>
        <v>2.6000000000000005</v>
      </c>
      <c r="D2">
        <f>B2+L2</f>
        <v>13.719999999999999</v>
      </c>
      <c r="E2">
        <v>2.6</v>
      </c>
      <c r="F2">
        <v>1</v>
      </c>
      <c r="G2">
        <v>1</v>
      </c>
      <c r="H2" s="8">
        <v>1</v>
      </c>
      <c r="I2" t="s">
        <v>83</v>
      </c>
      <c r="J2" t="s">
        <v>82</v>
      </c>
      <c r="K2" t="s">
        <v>77</v>
      </c>
      <c r="L2">
        <v>5.56</v>
      </c>
      <c r="N2" s="7"/>
    </row>
    <row r="3" spans="1:14" x14ac:dyDescent="0.55000000000000004">
      <c r="A3" s="7" t="s">
        <v>27</v>
      </c>
      <c r="B3" s="7">
        <v>8.58</v>
      </c>
      <c r="C3" s="7">
        <f t="shared" ref="C3:C26" si="0">B3-L3</f>
        <v>3.0200000000000005</v>
      </c>
      <c r="D3">
        <f t="shared" ref="D3:D26" si="1">B3+L3</f>
        <v>14.14</v>
      </c>
      <c r="E3">
        <v>3.02</v>
      </c>
      <c r="F3">
        <v>2</v>
      </c>
      <c r="G3">
        <v>2</v>
      </c>
      <c r="H3" s="8">
        <v>23</v>
      </c>
      <c r="I3" t="s">
        <v>83</v>
      </c>
      <c r="J3" t="s">
        <v>82</v>
      </c>
      <c r="K3" t="s">
        <v>77</v>
      </c>
      <c r="L3">
        <v>5.56</v>
      </c>
      <c r="N3" s="7"/>
    </row>
    <row r="4" spans="1:14" x14ac:dyDescent="0.55000000000000004">
      <c r="A4" s="7" t="s">
        <v>36</v>
      </c>
      <c r="B4" s="7">
        <v>8.64</v>
      </c>
      <c r="C4" s="7">
        <f t="shared" si="0"/>
        <v>3.080000000000001</v>
      </c>
      <c r="D4">
        <f t="shared" si="1"/>
        <v>14.2</v>
      </c>
      <c r="E4">
        <v>3.08</v>
      </c>
      <c r="F4">
        <v>3</v>
      </c>
      <c r="G4">
        <v>3</v>
      </c>
      <c r="H4" s="8">
        <v>2</v>
      </c>
      <c r="I4" t="s">
        <v>83</v>
      </c>
      <c r="J4" t="s">
        <v>82</v>
      </c>
      <c r="K4" t="s">
        <v>77</v>
      </c>
      <c r="L4">
        <v>5.56</v>
      </c>
      <c r="N4" s="7"/>
    </row>
    <row r="5" spans="1:14" x14ac:dyDescent="0.55000000000000004">
      <c r="A5" s="7" t="s">
        <v>37</v>
      </c>
      <c r="B5" s="7">
        <v>8.89</v>
      </c>
      <c r="C5" s="7">
        <f t="shared" si="0"/>
        <v>3.330000000000001</v>
      </c>
      <c r="D5">
        <f t="shared" si="1"/>
        <v>14.45</v>
      </c>
      <c r="E5">
        <v>8.89</v>
      </c>
      <c r="F5">
        <v>4</v>
      </c>
      <c r="G5">
        <v>10</v>
      </c>
      <c r="H5" s="8">
        <v>7</v>
      </c>
      <c r="I5" t="s">
        <v>83</v>
      </c>
      <c r="J5" t="s">
        <v>82</v>
      </c>
      <c r="K5" t="s">
        <v>77</v>
      </c>
      <c r="L5">
        <v>5.56</v>
      </c>
      <c r="N5" s="7"/>
    </row>
    <row r="6" spans="1:14" x14ac:dyDescent="0.55000000000000004">
      <c r="A6" s="7" t="s">
        <v>33</v>
      </c>
      <c r="B6" s="7">
        <v>8.99</v>
      </c>
      <c r="C6" s="7">
        <f t="shared" si="0"/>
        <v>3.4300000000000006</v>
      </c>
      <c r="D6">
        <f t="shared" si="1"/>
        <v>14.55</v>
      </c>
      <c r="E6">
        <v>3.43</v>
      </c>
      <c r="F6">
        <v>5</v>
      </c>
      <c r="G6">
        <v>4</v>
      </c>
      <c r="H6" s="8">
        <v>4</v>
      </c>
      <c r="I6" t="s">
        <v>83</v>
      </c>
      <c r="J6" t="s">
        <v>82</v>
      </c>
      <c r="K6" t="s">
        <v>77</v>
      </c>
      <c r="L6">
        <v>5.56</v>
      </c>
      <c r="N6" s="7"/>
    </row>
    <row r="7" spans="1:14" x14ac:dyDescent="0.55000000000000004">
      <c r="A7" s="7" t="s">
        <v>38</v>
      </c>
      <c r="B7" s="7">
        <v>9.35</v>
      </c>
      <c r="C7" s="7">
        <f t="shared" si="0"/>
        <v>3.79</v>
      </c>
      <c r="D7">
        <f t="shared" si="1"/>
        <v>14.91</v>
      </c>
      <c r="E7">
        <v>3.79</v>
      </c>
      <c r="F7">
        <v>6</v>
      </c>
      <c r="G7">
        <v>5</v>
      </c>
      <c r="H7" s="8">
        <v>5</v>
      </c>
      <c r="I7" t="s">
        <v>83</v>
      </c>
      <c r="J7" t="s">
        <v>82</v>
      </c>
      <c r="K7" t="s">
        <v>77</v>
      </c>
      <c r="L7">
        <v>5.56</v>
      </c>
      <c r="N7" s="7"/>
    </row>
    <row r="8" spans="1:14" x14ac:dyDescent="0.55000000000000004">
      <c r="A8" s="7" t="s">
        <v>34</v>
      </c>
      <c r="B8" s="7">
        <v>9.5500000000000007</v>
      </c>
      <c r="C8" s="7">
        <f t="shared" si="0"/>
        <v>3.9900000000000011</v>
      </c>
      <c r="D8">
        <f t="shared" si="1"/>
        <v>15.11</v>
      </c>
      <c r="E8">
        <v>3.99</v>
      </c>
      <c r="F8">
        <v>7</v>
      </c>
      <c r="G8">
        <v>6</v>
      </c>
      <c r="H8" s="8">
        <v>3</v>
      </c>
      <c r="I8" t="s">
        <v>83</v>
      </c>
      <c r="J8" t="s">
        <v>82</v>
      </c>
      <c r="K8" t="s">
        <v>77</v>
      </c>
      <c r="L8">
        <v>5.56</v>
      </c>
      <c r="N8" s="7"/>
    </row>
    <row r="9" spans="1:14" x14ac:dyDescent="0.55000000000000004">
      <c r="A9" s="7" t="s">
        <v>25</v>
      </c>
      <c r="B9" s="7">
        <v>10.3</v>
      </c>
      <c r="C9" s="7">
        <f t="shared" si="0"/>
        <v>4.7400000000000011</v>
      </c>
      <c r="D9">
        <f t="shared" si="1"/>
        <v>15.86</v>
      </c>
      <c r="E9">
        <v>10.3</v>
      </c>
      <c r="F9">
        <v>8</v>
      </c>
      <c r="G9">
        <v>11</v>
      </c>
      <c r="H9" s="8">
        <v>11</v>
      </c>
      <c r="I9" t="s">
        <v>83</v>
      </c>
      <c r="J9" t="s">
        <v>82</v>
      </c>
      <c r="K9" t="s">
        <v>77</v>
      </c>
      <c r="L9">
        <v>5.56</v>
      </c>
      <c r="N9" s="7"/>
    </row>
    <row r="10" spans="1:14" x14ac:dyDescent="0.55000000000000004">
      <c r="A10" s="7" t="s">
        <v>35</v>
      </c>
      <c r="B10" s="7">
        <v>10.55</v>
      </c>
      <c r="C10" s="7">
        <f t="shared" si="0"/>
        <v>4.9900000000000011</v>
      </c>
      <c r="D10">
        <f t="shared" si="1"/>
        <v>16.11</v>
      </c>
      <c r="E10">
        <v>4.99</v>
      </c>
      <c r="F10">
        <v>9</v>
      </c>
      <c r="G10">
        <v>7</v>
      </c>
      <c r="H10" s="8">
        <v>13</v>
      </c>
      <c r="I10" t="s">
        <v>83</v>
      </c>
      <c r="J10" t="s">
        <v>82</v>
      </c>
      <c r="K10" t="s">
        <v>77</v>
      </c>
      <c r="L10">
        <v>5.56</v>
      </c>
      <c r="N10" s="7"/>
    </row>
    <row r="11" spans="1:14" x14ac:dyDescent="0.55000000000000004">
      <c r="A11" s="7" t="s">
        <v>40</v>
      </c>
      <c r="B11" s="7">
        <v>10.91</v>
      </c>
      <c r="C11" s="7">
        <f t="shared" si="0"/>
        <v>5.3500000000000005</v>
      </c>
      <c r="D11">
        <f t="shared" si="1"/>
        <v>16.47</v>
      </c>
      <c r="E11">
        <v>5.35</v>
      </c>
      <c r="F11">
        <v>10</v>
      </c>
      <c r="G11">
        <v>8</v>
      </c>
      <c r="H11" s="8">
        <v>22</v>
      </c>
      <c r="I11" t="s">
        <v>83</v>
      </c>
      <c r="J11" t="s">
        <v>82</v>
      </c>
      <c r="K11" t="s">
        <v>77</v>
      </c>
      <c r="L11">
        <v>5.56</v>
      </c>
      <c r="N11" s="7"/>
    </row>
    <row r="12" spans="1:14" x14ac:dyDescent="0.55000000000000004">
      <c r="A12" s="7" t="s">
        <v>44</v>
      </c>
      <c r="B12" s="7">
        <v>11.32</v>
      </c>
      <c r="C12" s="7">
        <f t="shared" si="0"/>
        <v>5.7600000000000007</v>
      </c>
      <c r="D12">
        <f t="shared" si="1"/>
        <v>16.88</v>
      </c>
      <c r="E12">
        <v>11.32</v>
      </c>
      <c r="F12">
        <v>11</v>
      </c>
      <c r="G12">
        <v>12</v>
      </c>
      <c r="H12" s="8">
        <v>12</v>
      </c>
      <c r="I12" t="s">
        <v>83</v>
      </c>
      <c r="J12" t="s">
        <v>82</v>
      </c>
      <c r="K12" t="s">
        <v>77</v>
      </c>
      <c r="L12">
        <v>5.56</v>
      </c>
      <c r="N12" s="7"/>
    </row>
    <row r="13" spans="1:14" x14ac:dyDescent="0.55000000000000004">
      <c r="A13" s="7" t="s">
        <v>28</v>
      </c>
      <c r="B13" s="7">
        <v>11.37</v>
      </c>
      <c r="C13" s="7">
        <f t="shared" si="0"/>
        <v>5.81</v>
      </c>
      <c r="D13">
        <f t="shared" si="1"/>
        <v>16.93</v>
      </c>
      <c r="E13">
        <v>16.93</v>
      </c>
      <c r="F13">
        <v>12</v>
      </c>
      <c r="G13">
        <v>20</v>
      </c>
      <c r="H13" s="8">
        <v>6</v>
      </c>
      <c r="I13" t="s">
        <v>83</v>
      </c>
      <c r="J13" t="s">
        <v>82</v>
      </c>
      <c r="K13" t="s">
        <v>77</v>
      </c>
      <c r="L13">
        <v>5.56</v>
      </c>
      <c r="N13" s="7"/>
    </row>
    <row r="14" spans="1:14" x14ac:dyDescent="0.55000000000000004">
      <c r="A14" s="7" t="s">
        <v>48</v>
      </c>
      <c r="B14" s="7">
        <v>11.43</v>
      </c>
      <c r="C14" s="7">
        <f t="shared" si="0"/>
        <v>5.87</v>
      </c>
      <c r="D14">
        <f t="shared" si="1"/>
        <v>16.989999999999998</v>
      </c>
      <c r="E14">
        <v>11.43</v>
      </c>
      <c r="F14">
        <v>13</v>
      </c>
      <c r="G14">
        <v>13</v>
      </c>
      <c r="H14" s="8">
        <v>15</v>
      </c>
      <c r="I14" t="s">
        <v>83</v>
      </c>
      <c r="J14" t="s">
        <v>82</v>
      </c>
      <c r="K14" t="s">
        <v>77</v>
      </c>
      <c r="L14">
        <v>5.56</v>
      </c>
      <c r="N14" s="7"/>
    </row>
    <row r="15" spans="1:14" x14ac:dyDescent="0.55000000000000004">
      <c r="A15" s="7" t="s">
        <v>45</v>
      </c>
      <c r="B15" s="7">
        <v>11.48</v>
      </c>
      <c r="C15" s="7">
        <f t="shared" si="0"/>
        <v>5.9200000000000008</v>
      </c>
      <c r="D15">
        <f t="shared" si="1"/>
        <v>17.04</v>
      </c>
      <c r="E15">
        <v>11.48</v>
      </c>
      <c r="F15">
        <v>14</v>
      </c>
      <c r="G15">
        <v>14</v>
      </c>
      <c r="H15" s="8">
        <v>16</v>
      </c>
      <c r="I15" t="s">
        <v>83</v>
      </c>
      <c r="J15" t="s">
        <v>82</v>
      </c>
      <c r="K15" t="s">
        <v>77</v>
      </c>
      <c r="L15">
        <v>5.56</v>
      </c>
      <c r="N15" s="7"/>
    </row>
    <row r="16" spans="1:14" x14ac:dyDescent="0.55000000000000004">
      <c r="A16" s="7" t="s">
        <v>41</v>
      </c>
      <c r="B16" s="7">
        <v>12.48</v>
      </c>
      <c r="C16" s="7">
        <f t="shared" si="0"/>
        <v>6.9200000000000008</v>
      </c>
      <c r="D16">
        <f t="shared" si="1"/>
        <v>18.04</v>
      </c>
      <c r="E16">
        <v>18.04</v>
      </c>
      <c r="F16">
        <v>15</v>
      </c>
      <c r="G16">
        <v>21</v>
      </c>
      <c r="H16" s="8">
        <v>18</v>
      </c>
      <c r="I16" t="s">
        <v>83</v>
      </c>
      <c r="J16" t="s">
        <v>82</v>
      </c>
      <c r="K16" t="s">
        <v>77</v>
      </c>
      <c r="L16">
        <v>5.56</v>
      </c>
      <c r="N16" s="7"/>
    </row>
    <row r="17" spans="1:15" x14ac:dyDescent="0.55000000000000004">
      <c r="A17" s="7" t="s">
        <v>49</v>
      </c>
      <c r="B17" s="7">
        <v>13.85</v>
      </c>
      <c r="C17" s="7">
        <f t="shared" si="0"/>
        <v>8.2899999999999991</v>
      </c>
      <c r="D17">
        <f t="shared" si="1"/>
        <v>19.41</v>
      </c>
      <c r="E17">
        <v>13.85</v>
      </c>
      <c r="F17">
        <v>16</v>
      </c>
      <c r="G17">
        <v>15</v>
      </c>
      <c r="H17" s="8">
        <v>9</v>
      </c>
      <c r="I17" t="s">
        <v>83</v>
      </c>
      <c r="J17" t="s">
        <v>82</v>
      </c>
      <c r="K17" t="s">
        <v>77</v>
      </c>
      <c r="L17">
        <v>5.56</v>
      </c>
      <c r="N17" s="7"/>
    </row>
    <row r="18" spans="1:15" x14ac:dyDescent="0.55000000000000004">
      <c r="A18" s="7" t="s">
        <v>32</v>
      </c>
      <c r="B18" s="7">
        <v>14.04</v>
      </c>
      <c r="C18" s="7">
        <f t="shared" si="0"/>
        <v>8.48</v>
      </c>
      <c r="D18">
        <f t="shared" si="1"/>
        <v>19.599999999999998</v>
      </c>
      <c r="E18">
        <v>19.600000000000001</v>
      </c>
      <c r="F18">
        <v>17</v>
      </c>
      <c r="G18">
        <v>22</v>
      </c>
      <c r="H18" s="8">
        <v>10</v>
      </c>
      <c r="I18" t="s">
        <v>83</v>
      </c>
      <c r="J18" t="s">
        <v>82</v>
      </c>
      <c r="K18" t="s">
        <v>77</v>
      </c>
      <c r="L18">
        <v>5.56</v>
      </c>
      <c r="N18" s="7"/>
    </row>
    <row r="19" spans="1:15" x14ac:dyDescent="0.55000000000000004">
      <c r="A19" s="7" t="s">
        <v>31</v>
      </c>
      <c r="B19" s="7">
        <v>14.33</v>
      </c>
      <c r="C19" s="7">
        <f t="shared" si="0"/>
        <v>8.77</v>
      </c>
      <c r="D19">
        <f t="shared" si="1"/>
        <v>19.89</v>
      </c>
      <c r="E19">
        <v>8.77</v>
      </c>
      <c r="F19">
        <v>18</v>
      </c>
      <c r="G19">
        <v>9</v>
      </c>
      <c r="H19" s="8">
        <v>8</v>
      </c>
      <c r="I19" t="s">
        <v>83</v>
      </c>
      <c r="J19" t="s">
        <v>82</v>
      </c>
      <c r="K19" t="s">
        <v>77</v>
      </c>
      <c r="L19">
        <v>5.56</v>
      </c>
      <c r="N19" s="7"/>
    </row>
    <row r="20" spans="1:15" x14ac:dyDescent="0.55000000000000004">
      <c r="A20" s="7" t="s">
        <v>29</v>
      </c>
      <c r="B20" s="7">
        <v>14.38</v>
      </c>
      <c r="C20" s="7">
        <f t="shared" si="0"/>
        <v>8.82</v>
      </c>
      <c r="D20">
        <f t="shared" si="1"/>
        <v>19.940000000000001</v>
      </c>
      <c r="E20">
        <v>14.38</v>
      </c>
      <c r="F20">
        <v>19</v>
      </c>
      <c r="G20">
        <v>16</v>
      </c>
      <c r="H20" s="8">
        <v>24</v>
      </c>
      <c r="I20" t="s">
        <v>83</v>
      </c>
      <c r="J20" t="s">
        <v>82</v>
      </c>
      <c r="K20" t="s">
        <v>77</v>
      </c>
      <c r="L20">
        <v>5.56</v>
      </c>
      <c r="N20" s="7"/>
    </row>
    <row r="21" spans="1:15" x14ac:dyDescent="0.55000000000000004">
      <c r="A21" s="7" t="s">
        <v>42</v>
      </c>
      <c r="B21" s="7">
        <v>14.73</v>
      </c>
      <c r="C21" s="7">
        <f t="shared" si="0"/>
        <v>9.1700000000000017</v>
      </c>
      <c r="D21">
        <f t="shared" si="1"/>
        <v>20.29</v>
      </c>
      <c r="E21">
        <v>20.29</v>
      </c>
      <c r="F21">
        <v>20</v>
      </c>
      <c r="G21">
        <v>23</v>
      </c>
      <c r="H21" s="8">
        <v>19</v>
      </c>
      <c r="I21" t="s">
        <v>83</v>
      </c>
      <c r="J21" t="s">
        <v>82</v>
      </c>
      <c r="K21" t="s">
        <v>77</v>
      </c>
      <c r="L21">
        <v>5.56</v>
      </c>
      <c r="N21" s="7"/>
    </row>
    <row r="22" spans="1:15" x14ac:dyDescent="0.55000000000000004">
      <c r="A22" s="7" t="s">
        <v>47</v>
      </c>
      <c r="B22" s="7">
        <v>14.81</v>
      </c>
      <c r="C22" s="7">
        <f t="shared" si="0"/>
        <v>9.25</v>
      </c>
      <c r="D22">
        <f t="shared" si="1"/>
        <v>20.37</v>
      </c>
      <c r="E22">
        <v>14.81</v>
      </c>
      <c r="F22">
        <v>21</v>
      </c>
      <c r="G22">
        <v>17</v>
      </c>
      <c r="H22" s="8">
        <v>20</v>
      </c>
      <c r="I22" t="s">
        <v>83</v>
      </c>
      <c r="J22" t="s">
        <v>82</v>
      </c>
      <c r="K22" t="s">
        <v>77</v>
      </c>
      <c r="L22">
        <v>5.56</v>
      </c>
      <c r="N22" s="7"/>
    </row>
    <row r="23" spans="1:15" x14ac:dyDescent="0.55000000000000004">
      <c r="A23" s="7" t="s">
        <v>30</v>
      </c>
      <c r="B23" s="7">
        <v>15.1</v>
      </c>
      <c r="C23" s="7">
        <f t="shared" si="0"/>
        <v>9.5399999999999991</v>
      </c>
      <c r="D23">
        <f t="shared" si="1"/>
        <v>20.66</v>
      </c>
      <c r="E23">
        <v>15.1</v>
      </c>
      <c r="F23">
        <v>22</v>
      </c>
      <c r="G23">
        <v>18</v>
      </c>
      <c r="H23" s="8">
        <v>14</v>
      </c>
      <c r="I23" t="s">
        <v>83</v>
      </c>
      <c r="J23" t="s">
        <v>82</v>
      </c>
      <c r="K23" t="s">
        <v>77</v>
      </c>
      <c r="L23">
        <v>5.56</v>
      </c>
      <c r="N23" s="7"/>
    </row>
    <row r="24" spans="1:15" x14ac:dyDescent="0.55000000000000004">
      <c r="A24" s="7" t="s">
        <v>26</v>
      </c>
      <c r="B24" s="7">
        <v>15.62</v>
      </c>
      <c r="C24" s="7">
        <f t="shared" si="0"/>
        <v>10.059999999999999</v>
      </c>
      <c r="D24">
        <f t="shared" si="1"/>
        <v>21.18</v>
      </c>
      <c r="E24">
        <v>21.18</v>
      </c>
      <c r="F24">
        <v>23</v>
      </c>
      <c r="G24">
        <v>24</v>
      </c>
      <c r="H24" s="8">
        <v>17</v>
      </c>
      <c r="I24" t="s">
        <v>83</v>
      </c>
      <c r="J24" t="s">
        <v>82</v>
      </c>
      <c r="K24" t="s">
        <v>77</v>
      </c>
      <c r="L24">
        <v>5.56</v>
      </c>
      <c r="N24" s="7"/>
    </row>
    <row r="25" spans="1:15" x14ac:dyDescent="0.55000000000000004">
      <c r="A25" s="7" t="s">
        <v>46</v>
      </c>
      <c r="B25" s="7">
        <v>16.09</v>
      </c>
      <c r="C25" s="7">
        <f t="shared" si="0"/>
        <v>10.530000000000001</v>
      </c>
      <c r="D25">
        <f t="shared" si="1"/>
        <v>21.65</v>
      </c>
      <c r="E25">
        <v>16.09</v>
      </c>
      <c r="F25">
        <v>24</v>
      </c>
      <c r="G25">
        <v>19</v>
      </c>
      <c r="H25" s="8">
        <v>25</v>
      </c>
      <c r="I25" t="s">
        <v>83</v>
      </c>
      <c r="J25" t="s">
        <v>82</v>
      </c>
      <c r="K25" t="s">
        <v>77</v>
      </c>
      <c r="L25">
        <v>5.56</v>
      </c>
      <c r="N25" s="7"/>
    </row>
    <row r="26" spans="1:15" x14ac:dyDescent="0.55000000000000004">
      <c r="A26" s="7" t="s">
        <v>43</v>
      </c>
      <c r="B26" s="7">
        <v>16.8</v>
      </c>
      <c r="C26" s="7">
        <f t="shared" si="0"/>
        <v>11.240000000000002</v>
      </c>
      <c r="D26">
        <f t="shared" si="1"/>
        <v>22.36</v>
      </c>
      <c r="E26">
        <v>22.36</v>
      </c>
      <c r="F26">
        <v>25</v>
      </c>
      <c r="G26">
        <v>25</v>
      </c>
      <c r="H26" s="8">
        <v>21</v>
      </c>
      <c r="I26" t="s">
        <v>83</v>
      </c>
      <c r="J26" t="s">
        <v>82</v>
      </c>
      <c r="K26" t="s">
        <v>77</v>
      </c>
      <c r="L26">
        <v>5.56</v>
      </c>
      <c r="N26" s="7"/>
    </row>
    <row r="27" spans="1:15" x14ac:dyDescent="0.55000000000000004">
      <c r="A27" s="6" t="s">
        <v>36</v>
      </c>
      <c r="B27" s="6">
        <v>8.31</v>
      </c>
      <c r="C27" s="5">
        <f>B27-L27</f>
        <v>2.7500000000000009</v>
      </c>
      <c r="D27">
        <f>B27+L27</f>
        <v>13.870000000000001</v>
      </c>
      <c r="E27">
        <v>2.75</v>
      </c>
      <c r="F27">
        <v>1</v>
      </c>
      <c r="G27">
        <v>1</v>
      </c>
      <c r="H27" s="8">
        <v>8</v>
      </c>
      <c r="I27" t="s">
        <v>84</v>
      </c>
      <c r="J27" t="s">
        <v>85</v>
      </c>
      <c r="K27" t="s">
        <v>77</v>
      </c>
      <c r="L27">
        <v>5.56</v>
      </c>
      <c r="O27" s="5"/>
    </row>
    <row r="28" spans="1:15" x14ac:dyDescent="0.55000000000000004">
      <c r="A28" s="6" t="s">
        <v>39</v>
      </c>
      <c r="B28" s="6">
        <v>8.35</v>
      </c>
      <c r="C28" s="5">
        <f t="shared" ref="C28:C51" si="2">B28-L28</f>
        <v>2.79</v>
      </c>
      <c r="D28">
        <f t="shared" ref="D28:D51" si="3">B28+L28</f>
        <v>13.91</v>
      </c>
      <c r="E28">
        <v>8.35</v>
      </c>
      <c r="F28">
        <v>2</v>
      </c>
      <c r="G28">
        <v>8</v>
      </c>
      <c r="H28" s="8">
        <v>24</v>
      </c>
      <c r="I28" t="s">
        <v>84</v>
      </c>
      <c r="J28" t="s">
        <v>85</v>
      </c>
      <c r="K28" t="s">
        <v>77</v>
      </c>
      <c r="L28">
        <v>5.56</v>
      </c>
      <c r="N28" s="6"/>
    </row>
    <row r="29" spans="1:15" x14ac:dyDescent="0.55000000000000004">
      <c r="A29" s="6" t="s">
        <v>27</v>
      </c>
      <c r="B29" s="6">
        <v>8.43</v>
      </c>
      <c r="C29" s="5">
        <f t="shared" si="2"/>
        <v>2.87</v>
      </c>
      <c r="D29">
        <f t="shared" si="3"/>
        <v>13.989999999999998</v>
      </c>
      <c r="E29">
        <v>2.87</v>
      </c>
      <c r="F29">
        <v>3</v>
      </c>
      <c r="G29">
        <v>2</v>
      </c>
      <c r="H29" s="8">
        <v>7</v>
      </c>
      <c r="I29" t="s">
        <v>84</v>
      </c>
      <c r="J29" t="s">
        <v>85</v>
      </c>
      <c r="K29" t="s">
        <v>77</v>
      </c>
      <c r="L29">
        <v>5.56</v>
      </c>
      <c r="N29" s="6"/>
    </row>
    <row r="30" spans="1:15" x14ac:dyDescent="0.55000000000000004">
      <c r="A30" s="6" t="s">
        <v>37</v>
      </c>
      <c r="B30" s="6">
        <v>8.66</v>
      </c>
      <c r="C30" s="5">
        <f t="shared" si="2"/>
        <v>3.1000000000000005</v>
      </c>
      <c r="D30">
        <f t="shared" si="3"/>
        <v>14.219999999999999</v>
      </c>
      <c r="E30">
        <v>3.1</v>
      </c>
      <c r="F30">
        <v>4</v>
      </c>
      <c r="G30">
        <v>3</v>
      </c>
      <c r="H30" s="8">
        <v>1</v>
      </c>
      <c r="I30" t="s">
        <v>84</v>
      </c>
      <c r="J30" t="s">
        <v>85</v>
      </c>
      <c r="K30" t="s">
        <v>77</v>
      </c>
      <c r="L30">
        <v>5.56</v>
      </c>
      <c r="N30" s="6"/>
    </row>
    <row r="31" spans="1:15" x14ac:dyDescent="0.55000000000000004">
      <c r="A31" s="6" t="s">
        <v>38</v>
      </c>
      <c r="B31" s="6">
        <v>9.49</v>
      </c>
      <c r="C31" s="5">
        <f t="shared" si="2"/>
        <v>3.9300000000000006</v>
      </c>
      <c r="D31">
        <f t="shared" si="3"/>
        <v>15.05</v>
      </c>
      <c r="E31">
        <v>3.93</v>
      </c>
      <c r="F31">
        <v>5</v>
      </c>
      <c r="G31">
        <v>4</v>
      </c>
      <c r="H31" s="8">
        <v>4</v>
      </c>
      <c r="I31" t="s">
        <v>84</v>
      </c>
      <c r="J31" t="s">
        <v>85</v>
      </c>
      <c r="K31" t="s">
        <v>77</v>
      </c>
      <c r="L31">
        <v>5.56</v>
      </c>
      <c r="N31" s="6"/>
    </row>
    <row r="32" spans="1:15" x14ac:dyDescent="0.55000000000000004">
      <c r="A32" s="6" t="s">
        <v>35</v>
      </c>
      <c r="B32" s="6">
        <v>9.66</v>
      </c>
      <c r="C32" s="5">
        <f t="shared" si="2"/>
        <v>4.1000000000000005</v>
      </c>
      <c r="D32">
        <f t="shared" si="3"/>
        <v>15.219999999999999</v>
      </c>
      <c r="E32">
        <v>4.0999999999999996</v>
      </c>
      <c r="F32">
        <v>6</v>
      </c>
      <c r="G32">
        <v>5</v>
      </c>
      <c r="H32" s="8">
        <v>3</v>
      </c>
      <c r="I32" t="s">
        <v>84</v>
      </c>
      <c r="J32" t="s">
        <v>85</v>
      </c>
      <c r="K32" t="s">
        <v>77</v>
      </c>
      <c r="L32">
        <v>5.56</v>
      </c>
      <c r="N32" s="6"/>
    </row>
    <row r="33" spans="1:14" x14ac:dyDescent="0.55000000000000004">
      <c r="A33" s="6" t="s">
        <v>45</v>
      </c>
      <c r="B33" s="6">
        <v>10.66</v>
      </c>
      <c r="C33" s="5">
        <f t="shared" si="2"/>
        <v>5.1000000000000005</v>
      </c>
      <c r="D33">
        <f t="shared" si="3"/>
        <v>16.22</v>
      </c>
      <c r="E33">
        <v>10.66</v>
      </c>
      <c r="F33">
        <v>7</v>
      </c>
      <c r="G33">
        <v>10</v>
      </c>
      <c r="H33" s="8">
        <v>6</v>
      </c>
      <c r="I33" t="s">
        <v>84</v>
      </c>
      <c r="J33" t="s">
        <v>85</v>
      </c>
      <c r="K33" t="s">
        <v>77</v>
      </c>
      <c r="L33">
        <v>5.56</v>
      </c>
      <c r="N33" s="6"/>
    </row>
    <row r="34" spans="1:14" x14ac:dyDescent="0.55000000000000004">
      <c r="A34" s="6" t="s">
        <v>25</v>
      </c>
      <c r="B34" s="6">
        <v>11.06</v>
      </c>
      <c r="C34" s="5">
        <f t="shared" si="2"/>
        <v>5.5000000000000009</v>
      </c>
      <c r="D34">
        <f t="shared" si="3"/>
        <v>16.62</v>
      </c>
      <c r="E34">
        <v>11.06</v>
      </c>
      <c r="F34">
        <v>8</v>
      </c>
      <c r="G34">
        <v>11</v>
      </c>
      <c r="H34" s="8">
        <v>5</v>
      </c>
      <c r="I34" t="s">
        <v>84</v>
      </c>
      <c r="J34" t="s">
        <v>85</v>
      </c>
      <c r="K34" t="s">
        <v>77</v>
      </c>
      <c r="L34">
        <v>5.56</v>
      </c>
      <c r="N34" s="6"/>
    </row>
    <row r="35" spans="1:14" x14ac:dyDescent="0.55000000000000004">
      <c r="A35" s="6" t="s">
        <v>34</v>
      </c>
      <c r="B35" s="6">
        <v>11.22</v>
      </c>
      <c r="C35" s="5">
        <f t="shared" si="2"/>
        <v>5.660000000000001</v>
      </c>
      <c r="D35">
        <f t="shared" si="3"/>
        <v>16.78</v>
      </c>
      <c r="E35">
        <v>16.78</v>
      </c>
      <c r="F35">
        <v>9</v>
      </c>
      <c r="G35">
        <v>21</v>
      </c>
      <c r="H35" s="8">
        <v>13</v>
      </c>
      <c r="I35" t="s">
        <v>84</v>
      </c>
      <c r="J35" t="s">
        <v>85</v>
      </c>
      <c r="K35" t="s">
        <v>77</v>
      </c>
      <c r="L35">
        <v>5.56</v>
      </c>
      <c r="N35" s="6"/>
    </row>
    <row r="36" spans="1:14" x14ac:dyDescent="0.55000000000000004">
      <c r="A36" s="6" t="s">
        <v>33</v>
      </c>
      <c r="B36" s="6">
        <v>11.27</v>
      </c>
      <c r="C36" s="5">
        <f t="shared" si="2"/>
        <v>5.71</v>
      </c>
      <c r="D36">
        <f t="shared" si="3"/>
        <v>16.829999999999998</v>
      </c>
      <c r="E36">
        <v>11.27</v>
      </c>
      <c r="F36">
        <v>10</v>
      </c>
      <c r="G36">
        <v>12</v>
      </c>
      <c r="H36" s="8">
        <v>2</v>
      </c>
      <c r="I36" t="s">
        <v>84</v>
      </c>
      <c r="J36" t="s">
        <v>85</v>
      </c>
      <c r="K36" t="s">
        <v>77</v>
      </c>
      <c r="L36">
        <v>5.56</v>
      </c>
      <c r="N36" s="6"/>
    </row>
    <row r="37" spans="1:14" x14ac:dyDescent="0.55000000000000004">
      <c r="A37" s="6" t="s">
        <v>42</v>
      </c>
      <c r="B37" s="6">
        <v>12.01</v>
      </c>
      <c r="C37" s="5">
        <f t="shared" si="2"/>
        <v>6.45</v>
      </c>
      <c r="D37">
        <f t="shared" si="3"/>
        <v>17.57</v>
      </c>
      <c r="E37">
        <v>6.45</v>
      </c>
      <c r="F37">
        <v>11</v>
      </c>
      <c r="G37">
        <v>6</v>
      </c>
      <c r="H37" s="8">
        <v>14</v>
      </c>
      <c r="I37" t="s">
        <v>84</v>
      </c>
      <c r="J37" t="s">
        <v>85</v>
      </c>
      <c r="K37" t="s">
        <v>77</v>
      </c>
      <c r="L37">
        <v>5.56</v>
      </c>
      <c r="N37" s="6"/>
    </row>
    <row r="38" spans="1:14" x14ac:dyDescent="0.55000000000000004">
      <c r="A38" s="6" t="s">
        <v>40</v>
      </c>
      <c r="B38" s="6">
        <v>12.41</v>
      </c>
      <c r="C38" s="5">
        <f t="shared" si="2"/>
        <v>6.8500000000000005</v>
      </c>
      <c r="D38">
        <f t="shared" si="3"/>
        <v>17.97</v>
      </c>
      <c r="E38">
        <v>6.85</v>
      </c>
      <c r="F38">
        <v>12</v>
      </c>
      <c r="G38">
        <v>7</v>
      </c>
      <c r="H38" s="8">
        <v>16</v>
      </c>
      <c r="I38" t="s">
        <v>84</v>
      </c>
      <c r="J38" t="s">
        <v>85</v>
      </c>
      <c r="K38" t="s">
        <v>77</v>
      </c>
      <c r="L38">
        <v>5.56</v>
      </c>
      <c r="N38" s="6"/>
    </row>
    <row r="39" spans="1:14" x14ac:dyDescent="0.55000000000000004">
      <c r="A39" s="6" t="s">
        <v>48</v>
      </c>
      <c r="B39" s="6">
        <v>12.47</v>
      </c>
      <c r="C39" s="5">
        <f t="shared" si="2"/>
        <v>6.910000000000001</v>
      </c>
      <c r="D39">
        <f t="shared" si="3"/>
        <v>18.03</v>
      </c>
      <c r="E39">
        <v>12.47</v>
      </c>
      <c r="F39">
        <v>13</v>
      </c>
      <c r="G39">
        <v>13</v>
      </c>
      <c r="H39" s="8">
        <v>10</v>
      </c>
      <c r="I39" t="s">
        <v>84</v>
      </c>
      <c r="J39" t="s">
        <v>85</v>
      </c>
      <c r="K39" t="s">
        <v>77</v>
      </c>
      <c r="L39">
        <v>5.56</v>
      </c>
      <c r="N39" s="6"/>
    </row>
    <row r="40" spans="1:14" x14ac:dyDescent="0.55000000000000004">
      <c r="A40" s="6" t="s">
        <v>44</v>
      </c>
      <c r="B40" s="6">
        <v>12.61</v>
      </c>
      <c r="C40" s="5">
        <f t="shared" si="2"/>
        <v>7.05</v>
      </c>
      <c r="D40">
        <f t="shared" si="3"/>
        <v>18.169999999999998</v>
      </c>
      <c r="E40">
        <v>12.61</v>
      </c>
      <c r="F40">
        <v>14</v>
      </c>
      <c r="G40">
        <v>14</v>
      </c>
      <c r="H40" s="8">
        <v>12</v>
      </c>
      <c r="I40" t="s">
        <v>84</v>
      </c>
      <c r="J40" t="s">
        <v>85</v>
      </c>
      <c r="K40" t="s">
        <v>77</v>
      </c>
      <c r="L40">
        <v>5.56</v>
      </c>
      <c r="N40" s="6"/>
    </row>
    <row r="41" spans="1:14" x14ac:dyDescent="0.55000000000000004">
      <c r="A41" s="6" t="s">
        <v>29</v>
      </c>
      <c r="B41" s="6">
        <v>12.77</v>
      </c>
      <c r="C41" s="5">
        <f t="shared" si="2"/>
        <v>7.21</v>
      </c>
      <c r="D41">
        <f t="shared" si="3"/>
        <v>18.329999999999998</v>
      </c>
      <c r="E41">
        <v>12.77</v>
      </c>
      <c r="F41">
        <v>15</v>
      </c>
      <c r="G41">
        <v>15</v>
      </c>
      <c r="H41" s="8">
        <v>11</v>
      </c>
      <c r="I41" t="s">
        <v>84</v>
      </c>
      <c r="J41" t="s">
        <v>85</v>
      </c>
      <c r="K41" t="s">
        <v>77</v>
      </c>
      <c r="L41">
        <v>5.56</v>
      </c>
      <c r="N41" s="6"/>
    </row>
    <row r="42" spans="1:14" x14ac:dyDescent="0.55000000000000004">
      <c r="A42" s="6" t="s">
        <v>49</v>
      </c>
      <c r="B42" s="6">
        <v>13.84</v>
      </c>
      <c r="C42" s="5">
        <f t="shared" si="2"/>
        <v>8.2800000000000011</v>
      </c>
      <c r="D42">
        <f t="shared" si="3"/>
        <v>19.399999999999999</v>
      </c>
      <c r="E42">
        <v>13.84</v>
      </c>
      <c r="F42">
        <v>16</v>
      </c>
      <c r="G42">
        <v>16</v>
      </c>
      <c r="H42" s="8">
        <v>22</v>
      </c>
      <c r="I42" t="s">
        <v>84</v>
      </c>
      <c r="J42" t="s">
        <v>85</v>
      </c>
      <c r="K42" t="s">
        <v>77</v>
      </c>
      <c r="L42">
        <v>5.56</v>
      </c>
      <c r="N42" s="6"/>
    </row>
    <row r="43" spans="1:14" x14ac:dyDescent="0.55000000000000004">
      <c r="A43" s="6" t="s">
        <v>28</v>
      </c>
      <c r="B43" s="6">
        <v>14.07</v>
      </c>
      <c r="C43" s="5">
        <f t="shared" si="2"/>
        <v>8.5100000000000016</v>
      </c>
      <c r="D43">
        <f t="shared" si="3"/>
        <v>19.63</v>
      </c>
      <c r="E43">
        <v>14.07</v>
      </c>
      <c r="F43">
        <v>17</v>
      </c>
      <c r="G43">
        <v>17</v>
      </c>
      <c r="H43" s="8">
        <v>17</v>
      </c>
      <c r="I43" t="s">
        <v>84</v>
      </c>
      <c r="J43" t="s">
        <v>85</v>
      </c>
      <c r="K43" t="s">
        <v>77</v>
      </c>
      <c r="L43">
        <v>5.56</v>
      </c>
      <c r="N43" s="6"/>
    </row>
    <row r="44" spans="1:14" x14ac:dyDescent="0.55000000000000004">
      <c r="A44" s="6" t="s">
        <v>41</v>
      </c>
      <c r="B44" s="6">
        <v>14.16</v>
      </c>
      <c r="C44" s="5">
        <f t="shared" si="2"/>
        <v>8.6000000000000014</v>
      </c>
      <c r="D44">
        <f t="shared" si="3"/>
        <v>19.72</v>
      </c>
      <c r="E44">
        <v>14.16</v>
      </c>
      <c r="F44">
        <v>18</v>
      </c>
      <c r="G44">
        <v>18</v>
      </c>
      <c r="H44" s="8">
        <v>9</v>
      </c>
      <c r="I44" t="s">
        <v>84</v>
      </c>
      <c r="J44" t="s">
        <v>85</v>
      </c>
      <c r="K44" t="s">
        <v>77</v>
      </c>
      <c r="L44">
        <v>5.56</v>
      </c>
      <c r="N44" s="6"/>
    </row>
    <row r="45" spans="1:14" x14ac:dyDescent="0.55000000000000004">
      <c r="A45" s="6" t="s">
        <v>47</v>
      </c>
      <c r="B45" s="6">
        <v>14.92</v>
      </c>
      <c r="C45" s="5">
        <f t="shared" si="2"/>
        <v>9.36</v>
      </c>
      <c r="D45">
        <f t="shared" si="3"/>
        <v>20.48</v>
      </c>
      <c r="E45">
        <v>20.48</v>
      </c>
      <c r="F45">
        <v>19</v>
      </c>
      <c r="G45">
        <v>22</v>
      </c>
      <c r="H45" s="8">
        <v>20</v>
      </c>
      <c r="I45" t="s">
        <v>84</v>
      </c>
      <c r="J45" t="s">
        <v>85</v>
      </c>
      <c r="K45" t="s">
        <v>77</v>
      </c>
      <c r="L45">
        <v>5.56</v>
      </c>
      <c r="N45" s="6"/>
    </row>
    <row r="46" spans="1:14" x14ac:dyDescent="0.55000000000000004">
      <c r="A46" s="6" t="s">
        <v>30</v>
      </c>
      <c r="B46" s="6">
        <v>15.33</v>
      </c>
      <c r="C46" s="5">
        <f t="shared" si="2"/>
        <v>9.77</v>
      </c>
      <c r="D46">
        <f t="shared" si="3"/>
        <v>20.89</v>
      </c>
      <c r="E46">
        <v>15.33</v>
      </c>
      <c r="F46">
        <v>20</v>
      </c>
      <c r="G46">
        <v>19</v>
      </c>
      <c r="H46" s="8">
        <v>23</v>
      </c>
      <c r="I46" t="s">
        <v>84</v>
      </c>
      <c r="J46" t="s">
        <v>85</v>
      </c>
      <c r="K46" t="s">
        <v>77</v>
      </c>
      <c r="L46">
        <v>5.56</v>
      </c>
      <c r="N46" s="6"/>
    </row>
    <row r="47" spans="1:14" x14ac:dyDescent="0.55000000000000004">
      <c r="A47" s="6" t="s">
        <v>31</v>
      </c>
      <c r="B47" s="6">
        <v>15.37</v>
      </c>
      <c r="C47" s="5">
        <f t="shared" si="2"/>
        <v>9.8099999999999987</v>
      </c>
      <c r="D47">
        <f t="shared" si="3"/>
        <v>20.93</v>
      </c>
      <c r="E47">
        <v>9.81</v>
      </c>
      <c r="F47">
        <v>21</v>
      </c>
      <c r="G47">
        <v>9</v>
      </c>
      <c r="H47" s="8">
        <v>25</v>
      </c>
      <c r="I47" t="s">
        <v>84</v>
      </c>
      <c r="J47" t="s">
        <v>85</v>
      </c>
      <c r="K47" t="s">
        <v>77</v>
      </c>
      <c r="L47">
        <v>5.56</v>
      </c>
      <c r="N47" s="6"/>
    </row>
    <row r="48" spans="1:14" x14ac:dyDescent="0.55000000000000004">
      <c r="A48" s="6" t="s">
        <v>26</v>
      </c>
      <c r="B48" s="6">
        <v>15.72</v>
      </c>
      <c r="C48" s="5">
        <f t="shared" si="2"/>
        <v>10.16</v>
      </c>
      <c r="D48">
        <f t="shared" si="3"/>
        <v>21.28</v>
      </c>
      <c r="E48">
        <v>21.28</v>
      </c>
      <c r="F48">
        <v>22</v>
      </c>
      <c r="G48">
        <v>23</v>
      </c>
      <c r="H48" s="8">
        <v>19</v>
      </c>
      <c r="I48" t="s">
        <v>84</v>
      </c>
      <c r="J48" t="s">
        <v>85</v>
      </c>
      <c r="K48" t="s">
        <v>77</v>
      </c>
      <c r="L48">
        <v>5.56</v>
      </c>
      <c r="N48" s="6"/>
    </row>
    <row r="49" spans="1:17" x14ac:dyDescent="0.55000000000000004">
      <c r="A49" s="6" t="s">
        <v>32</v>
      </c>
      <c r="B49" s="6">
        <v>15.91</v>
      </c>
      <c r="C49" s="5">
        <f t="shared" si="2"/>
        <v>10.350000000000001</v>
      </c>
      <c r="D49">
        <f t="shared" si="3"/>
        <v>21.47</v>
      </c>
      <c r="E49">
        <v>15.91</v>
      </c>
      <c r="F49">
        <v>23</v>
      </c>
      <c r="G49">
        <v>20</v>
      </c>
      <c r="H49" s="8">
        <v>15</v>
      </c>
      <c r="I49" t="s">
        <v>84</v>
      </c>
      <c r="J49" t="s">
        <v>85</v>
      </c>
      <c r="K49" t="s">
        <v>77</v>
      </c>
      <c r="L49">
        <v>5.56</v>
      </c>
      <c r="N49" s="6"/>
    </row>
    <row r="50" spans="1:17" x14ac:dyDescent="0.55000000000000004">
      <c r="A50" s="6" t="s">
        <v>46</v>
      </c>
      <c r="B50" s="6">
        <v>16.28</v>
      </c>
      <c r="C50" s="5">
        <f t="shared" si="2"/>
        <v>10.720000000000002</v>
      </c>
      <c r="D50">
        <f t="shared" si="3"/>
        <v>21.84</v>
      </c>
      <c r="E50">
        <v>21.84</v>
      </c>
      <c r="F50">
        <v>24</v>
      </c>
      <c r="G50">
        <v>24</v>
      </c>
      <c r="H50" s="8">
        <v>18</v>
      </c>
      <c r="I50" t="s">
        <v>84</v>
      </c>
      <c r="J50" t="s">
        <v>85</v>
      </c>
      <c r="K50" t="s">
        <v>77</v>
      </c>
      <c r="L50">
        <v>5.56</v>
      </c>
      <c r="N50" s="6"/>
    </row>
    <row r="51" spans="1:17" x14ac:dyDescent="0.55000000000000004">
      <c r="A51" s="6" t="s">
        <v>43</v>
      </c>
      <c r="B51" s="6">
        <v>16.77</v>
      </c>
      <c r="C51" s="5">
        <f t="shared" si="2"/>
        <v>11.21</v>
      </c>
      <c r="D51">
        <f t="shared" si="3"/>
        <v>22.33</v>
      </c>
      <c r="E51">
        <v>22.33</v>
      </c>
      <c r="F51">
        <v>25</v>
      </c>
      <c r="G51">
        <v>25</v>
      </c>
      <c r="H51" s="8">
        <v>21</v>
      </c>
      <c r="I51" t="s">
        <v>84</v>
      </c>
      <c r="J51" t="s">
        <v>85</v>
      </c>
      <c r="K51" t="s">
        <v>77</v>
      </c>
      <c r="L51">
        <v>5.56</v>
      </c>
      <c r="N51" s="6"/>
    </row>
    <row r="52" spans="1:17" x14ac:dyDescent="0.55000000000000004">
      <c r="A52" t="s">
        <v>38</v>
      </c>
      <c r="B52">
        <v>8.33</v>
      </c>
      <c r="C52" s="5">
        <f t="shared" ref="C52:C76" si="4">B52-L52</f>
        <v>2.6399999999999997</v>
      </c>
      <c r="D52" s="5">
        <f t="shared" ref="D52:D76" si="5">B52+L52</f>
        <v>14.02</v>
      </c>
      <c r="E52">
        <v>2.64</v>
      </c>
      <c r="F52">
        <v>1</v>
      </c>
      <c r="G52">
        <v>1</v>
      </c>
      <c r="H52" s="8">
        <v>5</v>
      </c>
      <c r="I52" t="s">
        <v>81</v>
      </c>
      <c r="J52" t="s">
        <v>82</v>
      </c>
      <c r="K52" t="s">
        <v>77</v>
      </c>
      <c r="L52">
        <v>5.69</v>
      </c>
      <c r="N52" s="6"/>
      <c r="P52" s="5"/>
      <c r="Q52" s="5"/>
    </row>
    <row r="53" spans="1:17" x14ac:dyDescent="0.55000000000000004">
      <c r="A53" t="s">
        <v>39</v>
      </c>
      <c r="B53">
        <v>9.44</v>
      </c>
      <c r="C53" s="5">
        <f t="shared" si="4"/>
        <v>3.7499999999999991</v>
      </c>
      <c r="D53" s="5">
        <f t="shared" si="5"/>
        <v>15.129999999999999</v>
      </c>
      <c r="E53">
        <v>3.75</v>
      </c>
      <c r="F53">
        <v>2</v>
      </c>
      <c r="G53">
        <v>2</v>
      </c>
      <c r="H53" s="8">
        <v>2</v>
      </c>
      <c r="I53" t="s">
        <v>81</v>
      </c>
      <c r="J53" t="s">
        <v>82</v>
      </c>
      <c r="K53" t="s">
        <v>77</v>
      </c>
      <c r="L53">
        <v>5.69</v>
      </c>
      <c r="P53" s="5"/>
      <c r="Q53" s="5"/>
    </row>
    <row r="54" spans="1:17" x14ac:dyDescent="0.55000000000000004">
      <c r="A54" t="s">
        <v>27</v>
      </c>
      <c r="B54">
        <v>9.4600000000000009</v>
      </c>
      <c r="C54" s="5">
        <f t="shared" si="4"/>
        <v>3.7700000000000005</v>
      </c>
      <c r="D54" s="5">
        <f t="shared" si="5"/>
        <v>15.150000000000002</v>
      </c>
      <c r="E54">
        <v>3.77</v>
      </c>
      <c r="F54">
        <v>3</v>
      </c>
      <c r="G54">
        <v>3</v>
      </c>
      <c r="H54" s="8">
        <v>8</v>
      </c>
      <c r="I54" t="s">
        <v>81</v>
      </c>
      <c r="J54" t="s">
        <v>82</v>
      </c>
      <c r="K54" t="s">
        <v>77</v>
      </c>
      <c r="L54">
        <v>5.69</v>
      </c>
      <c r="P54" s="5"/>
      <c r="Q54" s="5"/>
    </row>
    <row r="55" spans="1:17" x14ac:dyDescent="0.55000000000000004">
      <c r="A55" t="s">
        <v>36</v>
      </c>
      <c r="B55">
        <v>10.07</v>
      </c>
      <c r="C55" s="5">
        <f t="shared" si="4"/>
        <v>4.38</v>
      </c>
      <c r="D55" s="5">
        <f t="shared" si="5"/>
        <v>15.760000000000002</v>
      </c>
      <c r="E55">
        <v>4.38</v>
      </c>
      <c r="F55">
        <v>4</v>
      </c>
      <c r="G55">
        <v>4</v>
      </c>
      <c r="H55" s="8">
        <v>11</v>
      </c>
      <c r="I55" t="s">
        <v>81</v>
      </c>
      <c r="J55" t="s">
        <v>82</v>
      </c>
      <c r="K55" t="s">
        <v>77</v>
      </c>
      <c r="L55">
        <v>5.69</v>
      </c>
      <c r="P55" s="5"/>
      <c r="Q55" s="5"/>
    </row>
    <row r="56" spans="1:17" x14ac:dyDescent="0.55000000000000004">
      <c r="A56" t="s">
        <v>34</v>
      </c>
      <c r="B56">
        <v>10.65</v>
      </c>
      <c r="C56" s="5">
        <f t="shared" si="4"/>
        <v>4.96</v>
      </c>
      <c r="D56" s="5">
        <f t="shared" si="5"/>
        <v>16.34</v>
      </c>
      <c r="E56">
        <v>4.96</v>
      </c>
      <c r="F56">
        <v>5</v>
      </c>
      <c r="G56">
        <v>5</v>
      </c>
      <c r="H56" s="8">
        <v>7</v>
      </c>
      <c r="I56" t="s">
        <v>81</v>
      </c>
      <c r="J56" t="s">
        <v>82</v>
      </c>
      <c r="K56" t="s">
        <v>77</v>
      </c>
      <c r="L56">
        <v>5.69</v>
      </c>
      <c r="P56" s="5"/>
      <c r="Q56" s="5"/>
    </row>
    <row r="57" spans="1:17" x14ac:dyDescent="0.55000000000000004">
      <c r="A57" t="s">
        <v>37</v>
      </c>
      <c r="B57">
        <v>10.95</v>
      </c>
      <c r="C57" s="5">
        <f t="shared" si="4"/>
        <v>5.2599999999999989</v>
      </c>
      <c r="D57" s="5">
        <f t="shared" si="5"/>
        <v>16.64</v>
      </c>
      <c r="E57">
        <v>10.95</v>
      </c>
      <c r="F57">
        <v>6</v>
      </c>
      <c r="G57">
        <v>11</v>
      </c>
      <c r="H57" s="8">
        <v>15</v>
      </c>
      <c r="I57" t="s">
        <v>81</v>
      </c>
      <c r="J57" t="s">
        <v>82</v>
      </c>
      <c r="K57" t="s">
        <v>77</v>
      </c>
      <c r="L57">
        <v>5.69</v>
      </c>
      <c r="P57" s="5"/>
      <c r="Q57" s="5"/>
    </row>
    <row r="58" spans="1:17" x14ac:dyDescent="0.55000000000000004">
      <c r="A58" t="s">
        <v>35</v>
      </c>
      <c r="B58">
        <v>10.95</v>
      </c>
      <c r="C58" s="5">
        <f t="shared" si="4"/>
        <v>5.2599999999999989</v>
      </c>
      <c r="D58" s="5">
        <f t="shared" si="5"/>
        <v>16.64</v>
      </c>
      <c r="E58">
        <v>5.26</v>
      </c>
      <c r="F58">
        <v>7</v>
      </c>
      <c r="G58">
        <v>6</v>
      </c>
      <c r="H58" s="8">
        <v>6</v>
      </c>
      <c r="I58" t="s">
        <v>81</v>
      </c>
      <c r="J58" t="s">
        <v>82</v>
      </c>
      <c r="K58" t="s">
        <v>77</v>
      </c>
      <c r="L58">
        <v>5.69</v>
      </c>
      <c r="P58" s="5"/>
      <c r="Q58" s="5"/>
    </row>
    <row r="59" spans="1:17" x14ac:dyDescent="0.55000000000000004">
      <c r="A59" t="s">
        <v>25</v>
      </c>
      <c r="B59">
        <v>11.43</v>
      </c>
      <c r="C59" s="5">
        <f t="shared" si="4"/>
        <v>5.7399999999999993</v>
      </c>
      <c r="D59" s="5">
        <f t="shared" si="5"/>
        <v>17.12</v>
      </c>
      <c r="E59">
        <v>11.43</v>
      </c>
      <c r="F59">
        <v>8</v>
      </c>
      <c r="G59">
        <v>12</v>
      </c>
      <c r="H59" s="8">
        <v>10</v>
      </c>
      <c r="I59" t="s">
        <v>81</v>
      </c>
      <c r="J59" t="s">
        <v>82</v>
      </c>
      <c r="K59" t="s">
        <v>77</v>
      </c>
      <c r="L59">
        <v>5.69</v>
      </c>
      <c r="P59" s="5"/>
      <c r="Q59" s="5"/>
    </row>
    <row r="60" spans="1:17" x14ac:dyDescent="0.55000000000000004">
      <c r="A60" t="s">
        <v>42</v>
      </c>
      <c r="B60">
        <v>11.61</v>
      </c>
      <c r="C60" s="5">
        <f t="shared" si="4"/>
        <v>5.919999999999999</v>
      </c>
      <c r="D60" s="5">
        <f t="shared" si="5"/>
        <v>17.3</v>
      </c>
      <c r="E60">
        <v>17.3</v>
      </c>
      <c r="F60">
        <v>9</v>
      </c>
      <c r="G60">
        <v>20</v>
      </c>
      <c r="H60" s="8">
        <v>25</v>
      </c>
      <c r="I60" t="s">
        <v>81</v>
      </c>
      <c r="J60" t="s">
        <v>82</v>
      </c>
      <c r="K60" t="s">
        <v>77</v>
      </c>
      <c r="L60">
        <v>5.69</v>
      </c>
      <c r="P60" s="5"/>
      <c r="Q60" s="5"/>
    </row>
    <row r="61" spans="1:17" x14ac:dyDescent="0.55000000000000004">
      <c r="A61" t="s">
        <v>33</v>
      </c>
      <c r="B61">
        <v>11.62</v>
      </c>
      <c r="C61" s="5">
        <f t="shared" si="4"/>
        <v>5.9299999999999988</v>
      </c>
      <c r="D61" s="5">
        <f t="shared" si="5"/>
        <v>17.309999999999999</v>
      </c>
      <c r="E61">
        <v>5.93</v>
      </c>
      <c r="F61">
        <v>10</v>
      </c>
      <c r="G61">
        <v>7</v>
      </c>
      <c r="H61" s="8">
        <v>1</v>
      </c>
      <c r="I61" t="s">
        <v>81</v>
      </c>
      <c r="J61" t="s">
        <v>82</v>
      </c>
      <c r="K61" t="s">
        <v>77</v>
      </c>
      <c r="L61">
        <v>5.69</v>
      </c>
      <c r="P61" s="5"/>
      <c r="Q61" s="5"/>
    </row>
    <row r="62" spans="1:17" x14ac:dyDescent="0.55000000000000004">
      <c r="A62" t="s">
        <v>40</v>
      </c>
      <c r="B62">
        <v>11.82</v>
      </c>
      <c r="C62" s="5">
        <f t="shared" si="4"/>
        <v>6.13</v>
      </c>
      <c r="D62" s="5">
        <f t="shared" si="5"/>
        <v>17.510000000000002</v>
      </c>
      <c r="E62">
        <v>6.13</v>
      </c>
      <c r="F62">
        <v>11</v>
      </c>
      <c r="G62">
        <v>8</v>
      </c>
      <c r="H62" s="8">
        <v>3</v>
      </c>
      <c r="I62" t="s">
        <v>81</v>
      </c>
      <c r="J62" t="s">
        <v>82</v>
      </c>
      <c r="K62" t="s">
        <v>77</v>
      </c>
      <c r="L62">
        <v>5.69</v>
      </c>
      <c r="P62" s="5"/>
      <c r="Q62" s="5"/>
    </row>
    <row r="63" spans="1:17" x14ac:dyDescent="0.55000000000000004">
      <c r="A63" t="s">
        <v>45</v>
      </c>
      <c r="B63">
        <v>11.84</v>
      </c>
      <c r="C63" s="5">
        <f t="shared" si="4"/>
        <v>6.1499999999999995</v>
      </c>
      <c r="D63" s="5">
        <f t="shared" si="5"/>
        <v>17.53</v>
      </c>
      <c r="E63">
        <v>11.84</v>
      </c>
      <c r="F63">
        <v>12</v>
      </c>
      <c r="G63">
        <v>13</v>
      </c>
      <c r="H63" s="8">
        <v>9</v>
      </c>
      <c r="I63" t="s">
        <v>81</v>
      </c>
      <c r="J63" t="s">
        <v>82</v>
      </c>
      <c r="K63" t="s">
        <v>77</v>
      </c>
      <c r="L63">
        <v>5.69</v>
      </c>
      <c r="P63" s="5"/>
      <c r="Q63" s="5"/>
    </row>
    <row r="64" spans="1:17" x14ac:dyDescent="0.55000000000000004">
      <c r="A64" t="s">
        <v>29</v>
      </c>
      <c r="B64">
        <v>12.58</v>
      </c>
      <c r="C64" s="5">
        <f t="shared" si="4"/>
        <v>6.89</v>
      </c>
      <c r="D64" s="5">
        <f t="shared" si="5"/>
        <v>18.27</v>
      </c>
      <c r="E64">
        <v>12.58</v>
      </c>
      <c r="F64">
        <v>13</v>
      </c>
      <c r="G64">
        <v>14</v>
      </c>
      <c r="H64" s="8">
        <v>17</v>
      </c>
      <c r="I64" t="s">
        <v>81</v>
      </c>
      <c r="J64" t="s">
        <v>82</v>
      </c>
      <c r="K64" t="s">
        <v>77</v>
      </c>
      <c r="L64">
        <v>5.69</v>
      </c>
      <c r="P64" s="5"/>
      <c r="Q64" s="5"/>
    </row>
    <row r="65" spans="1:17" x14ac:dyDescent="0.55000000000000004">
      <c r="A65" t="s">
        <v>44</v>
      </c>
      <c r="B65">
        <v>12.75</v>
      </c>
      <c r="C65" s="5">
        <f t="shared" si="4"/>
        <v>7.06</v>
      </c>
      <c r="D65" s="5">
        <f t="shared" si="5"/>
        <v>18.440000000000001</v>
      </c>
      <c r="E65">
        <v>7.06</v>
      </c>
      <c r="F65">
        <v>14</v>
      </c>
      <c r="G65">
        <v>9</v>
      </c>
      <c r="H65" s="8">
        <v>20</v>
      </c>
      <c r="I65" t="s">
        <v>81</v>
      </c>
      <c r="J65" t="s">
        <v>82</v>
      </c>
      <c r="K65" t="s">
        <v>77</v>
      </c>
      <c r="L65">
        <v>5.69</v>
      </c>
      <c r="P65" s="5"/>
      <c r="Q65" s="5"/>
    </row>
    <row r="66" spans="1:17" x14ac:dyDescent="0.55000000000000004">
      <c r="A66" t="s">
        <v>28</v>
      </c>
      <c r="B66">
        <v>13.4</v>
      </c>
      <c r="C66" s="5">
        <f t="shared" si="4"/>
        <v>7.71</v>
      </c>
      <c r="D66" s="5">
        <f t="shared" si="5"/>
        <v>19.09</v>
      </c>
      <c r="E66">
        <v>13.4</v>
      </c>
      <c r="F66">
        <v>15</v>
      </c>
      <c r="G66">
        <v>15</v>
      </c>
      <c r="H66" s="8">
        <v>4</v>
      </c>
      <c r="I66" t="s">
        <v>81</v>
      </c>
      <c r="J66" t="s">
        <v>82</v>
      </c>
      <c r="K66" t="s">
        <v>77</v>
      </c>
      <c r="L66">
        <v>5.69</v>
      </c>
      <c r="P66" s="5"/>
      <c r="Q66" s="5"/>
    </row>
    <row r="67" spans="1:17" x14ac:dyDescent="0.55000000000000004">
      <c r="A67" t="s">
        <v>26</v>
      </c>
      <c r="B67">
        <v>13.67</v>
      </c>
      <c r="C67" s="5">
        <f t="shared" si="4"/>
        <v>7.9799999999999995</v>
      </c>
      <c r="D67" s="5">
        <f t="shared" si="5"/>
        <v>19.36</v>
      </c>
      <c r="E67">
        <v>19.36</v>
      </c>
      <c r="F67">
        <v>16</v>
      </c>
      <c r="G67">
        <v>21</v>
      </c>
      <c r="H67" s="8">
        <v>12</v>
      </c>
      <c r="I67" t="s">
        <v>81</v>
      </c>
      <c r="J67" t="s">
        <v>82</v>
      </c>
      <c r="K67" t="s">
        <v>77</v>
      </c>
      <c r="L67">
        <v>5.69</v>
      </c>
      <c r="P67" s="5"/>
      <c r="Q67" s="5"/>
    </row>
    <row r="68" spans="1:17" x14ac:dyDescent="0.55000000000000004">
      <c r="A68" t="s">
        <v>46</v>
      </c>
      <c r="B68">
        <v>14.08</v>
      </c>
      <c r="C68" s="5">
        <f t="shared" si="4"/>
        <v>8.39</v>
      </c>
      <c r="D68" s="5">
        <f t="shared" si="5"/>
        <v>19.77</v>
      </c>
      <c r="E68">
        <v>19.77</v>
      </c>
      <c r="F68">
        <v>17</v>
      </c>
      <c r="G68">
        <v>22</v>
      </c>
      <c r="H68" s="8">
        <v>22</v>
      </c>
      <c r="I68" t="s">
        <v>81</v>
      </c>
      <c r="J68" t="s">
        <v>82</v>
      </c>
      <c r="K68" t="s">
        <v>77</v>
      </c>
      <c r="L68">
        <v>5.69</v>
      </c>
      <c r="P68" s="5"/>
      <c r="Q68" s="5"/>
    </row>
    <row r="69" spans="1:17" x14ac:dyDescent="0.55000000000000004">
      <c r="A69" t="s">
        <v>49</v>
      </c>
      <c r="B69">
        <v>14.28</v>
      </c>
      <c r="C69" s="5">
        <f t="shared" si="4"/>
        <v>8.59</v>
      </c>
      <c r="D69" s="5">
        <f t="shared" si="5"/>
        <v>19.97</v>
      </c>
      <c r="E69">
        <v>14.28</v>
      </c>
      <c r="F69">
        <v>18</v>
      </c>
      <c r="G69">
        <v>16</v>
      </c>
      <c r="H69" s="8">
        <v>14</v>
      </c>
      <c r="I69" t="s">
        <v>81</v>
      </c>
      <c r="J69" t="s">
        <v>82</v>
      </c>
      <c r="K69" t="s">
        <v>77</v>
      </c>
      <c r="L69">
        <v>5.69</v>
      </c>
      <c r="P69" s="5"/>
      <c r="Q69" s="5"/>
    </row>
    <row r="70" spans="1:17" x14ac:dyDescent="0.55000000000000004">
      <c r="A70" t="s">
        <v>32</v>
      </c>
      <c r="B70">
        <v>14.29</v>
      </c>
      <c r="C70" s="5">
        <f t="shared" si="4"/>
        <v>8.5999999999999979</v>
      </c>
      <c r="D70" s="5">
        <f t="shared" si="5"/>
        <v>19.98</v>
      </c>
      <c r="E70">
        <v>19.98</v>
      </c>
      <c r="F70">
        <v>19</v>
      </c>
      <c r="G70">
        <v>23</v>
      </c>
      <c r="H70" s="8">
        <v>16</v>
      </c>
      <c r="I70" t="s">
        <v>81</v>
      </c>
      <c r="J70" t="s">
        <v>82</v>
      </c>
      <c r="K70" t="s">
        <v>77</v>
      </c>
      <c r="L70">
        <v>5.69</v>
      </c>
      <c r="P70" s="5"/>
      <c r="Q70" s="5"/>
    </row>
    <row r="71" spans="1:17" x14ac:dyDescent="0.55000000000000004">
      <c r="A71" t="s">
        <v>41</v>
      </c>
      <c r="B71">
        <v>14.3</v>
      </c>
      <c r="C71" s="5">
        <f t="shared" si="4"/>
        <v>8.61</v>
      </c>
      <c r="D71" s="5">
        <f t="shared" si="5"/>
        <v>19.990000000000002</v>
      </c>
      <c r="E71">
        <v>14.3</v>
      </c>
      <c r="F71">
        <v>20</v>
      </c>
      <c r="G71">
        <v>17</v>
      </c>
      <c r="H71" s="8">
        <v>18</v>
      </c>
      <c r="I71" t="s">
        <v>81</v>
      </c>
      <c r="J71" t="s">
        <v>82</v>
      </c>
      <c r="K71" t="s">
        <v>77</v>
      </c>
      <c r="L71">
        <v>5.69</v>
      </c>
      <c r="P71" s="5"/>
      <c r="Q71" s="5"/>
    </row>
    <row r="72" spans="1:17" x14ac:dyDescent="0.55000000000000004">
      <c r="A72" t="s">
        <v>48</v>
      </c>
      <c r="B72">
        <v>14.44</v>
      </c>
      <c r="C72" s="5">
        <f t="shared" si="4"/>
        <v>8.75</v>
      </c>
      <c r="D72" s="5">
        <f t="shared" si="5"/>
        <v>20.13</v>
      </c>
      <c r="E72">
        <v>8.75</v>
      </c>
      <c r="F72">
        <v>21</v>
      </c>
      <c r="G72">
        <v>10</v>
      </c>
      <c r="H72" s="8">
        <v>19</v>
      </c>
      <c r="I72" t="s">
        <v>81</v>
      </c>
      <c r="J72" t="s">
        <v>82</v>
      </c>
      <c r="K72" t="s">
        <v>77</v>
      </c>
      <c r="L72">
        <v>5.69</v>
      </c>
      <c r="P72" s="5"/>
      <c r="Q72" s="5"/>
    </row>
    <row r="73" spans="1:17" x14ac:dyDescent="0.55000000000000004">
      <c r="A73" t="s">
        <v>31</v>
      </c>
      <c r="B73">
        <v>14.45</v>
      </c>
      <c r="C73" s="5">
        <f t="shared" si="4"/>
        <v>8.759999999999998</v>
      </c>
      <c r="D73" s="5">
        <f t="shared" si="5"/>
        <v>20.14</v>
      </c>
      <c r="E73">
        <v>14.45</v>
      </c>
      <c r="F73">
        <v>22</v>
      </c>
      <c r="G73">
        <v>18</v>
      </c>
      <c r="H73" s="8">
        <v>23</v>
      </c>
      <c r="I73" t="s">
        <v>81</v>
      </c>
      <c r="J73" t="s">
        <v>82</v>
      </c>
      <c r="K73" t="s">
        <v>77</v>
      </c>
      <c r="L73">
        <v>5.69</v>
      </c>
      <c r="P73" s="5"/>
      <c r="Q73" s="5"/>
    </row>
    <row r="74" spans="1:17" x14ac:dyDescent="0.55000000000000004">
      <c r="A74" t="s">
        <v>30</v>
      </c>
      <c r="B74">
        <v>14.83</v>
      </c>
      <c r="C74" s="5">
        <f t="shared" si="4"/>
        <v>9.14</v>
      </c>
      <c r="D74" s="5">
        <f t="shared" si="5"/>
        <v>20.52</v>
      </c>
      <c r="E74">
        <v>14.83</v>
      </c>
      <c r="F74">
        <v>23</v>
      </c>
      <c r="G74">
        <v>19</v>
      </c>
      <c r="H74" s="8">
        <v>13</v>
      </c>
      <c r="I74" t="s">
        <v>81</v>
      </c>
      <c r="J74" t="s">
        <v>82</v>
      </c>
      <c r="K74" t="s">
        <v>77</v>
      </c>
      <c r="L74">
        <v>5.69</v>
      </c>
      <c r="P74" s="5"/>
      <c r="Q74" s="5"/>
    </row>
    <row r="75" spans="1:17" x14ac:dyDescent="0.55000000000000004">
      <c r="A75" t="s">
        <v>47</v>
      </c>
      <c r="B75">
        <v>15.55</v>
      </c>
      <c r="C75" s="5">
        <f t="shared" si="4"/>
        <v>9.86</v>
      </c>
      <c r="D75" s="5">
        <f t="shared" si="5"/>
        <v>21.240000000000002</v>
      </c>
      <c r="E75">
        <v>21.24</v>
      </c>
      <c r="F75">
        <v>24</v>
      </c>
      <c r="G75">
        <v>24</v>
      </c>
      <c r="H75" s="8">
        <v>24</v>
      </c>
      <c r="I75" t="s">
        <v>81</v>
      </c>
      <c r="J75" t="s">
        <v>82</v>
      </c>
      <c r="K75" t="s">
        <v>77</v>
      </c>
      <c r="L75">
        <v>5.69</v>
      </c>
      <c r="P75" s="5"/>
      <c r="Q75" s="5"/>
    </row>
    <row r="76" spans="1:17" x14ac:dyDescent="0.55000000000000004">
      <c r="A76" t="s">
        <v>43</v>
      </c>
      <c r="B76">
        <v>16.579999999999998</v>
      </c>
      <c r="C76" s="5">
        <f t="shared" si="4"/>
        <v>10.889999999999997</v>
      </c>
      <c r="D76" s="5">
        <f t="shared" si="5"/>
        <v>22.27</v>
      </c>
      <c r="E76">
        <v>22.27</v>
      </c>
      <c r="F76">
        <v>25</v>
      </c>
      <c r="G76">
        <v>25</v>
      </c>
      <c r="H76" s="8">
        <v>21</v>
      </c>
      <c r="I76" t="s">
        <v>81</v>
      </c>
      <c r="J76" t="s">
        <v>82</v>
      </c>
      <c r="K76" t="s">
        <v>77</v>
      </c>
      <c r="L76">
        <v>5.69</v>
      </c>
      <c r="P76" s="5"/>
      <c r="Q76" s="5"/>
    </row>
    <row r="77" spans="1:17" x14ac:dyDescent="0.55000000000000004">
      <c r="A77" t="s">
        <v>39</v>
      </c>
      <c r="B77">
        <v>8.19</v>
      </c>
      <c r="C77" s="5">
        <f t="shared" ref="C77:C101" si="6">B77-5.56</f>
        <v>2.63</v>
      </c>
      <c r="D77" s="5">
        <f t="shared" ref="D77:D101" si="7">B77+5.56</f>
        <v>13.75</v>
      </c>
      <c r="E77" s="5">
        <v>2.63</v>
      </c>
      <c r="F77">
        <v>1</v>
      </c>
      <c r="G77">
        <v>1</v>
      </c>
      <c r="H77" s="8">
        <v>1</v>
      </c>
      <c r="I77" t="s">
        <v>75</v>
      </c>
      <c r="J77" t="s">
        <v>76</v>
      </c>
      <c r="K77" t="s">
        <v>77</v>
      </c>
      <c r="L77">
        <v>5.56</v>
      </c>
    </row>
    <row r="78" spans="1:17" x14ac:dyDescent="0.55000000000000004">
      <c r="A78" t="s">
        <v>36</v>
      </c>
      <c r="B78">
        <v>8.23</v>
      </c>
      <c r="C78" s="5">
        <f t="shared" si="6"/>
        <v>2.6700000000000008</v>
      </c>
      <c r="D78" s="5">
        <f t="shared" si="7"/>
        <v>13.79</v>
      </c>
      <c r="E78" s="5">
        <v>8.23</v>
      </c>
      <c r="F78">
        <v>2</v>
      </c>
      <c r="G78">
        <v>7</v>
      </c>
      <c r="H78" s="8">
        <v>16</v>
      </c>
      <c r="I78" t="s">
        <v>75</v>
      </c>
      <c r="J78" t="s">
        <v>76</v>
      </c>
      <c r="K78" t="s">
        <v>77</v>
      </c>
      <c r="L78">
        <v>5.56</v>
      </c>
    </row>
    <row r="79" spans="1:17" x14ac:dyDescent="0.55000000000000004">
      <c r="A79" t="s">
        <v>27</v>
      </c>
      <c r="B79">
        <v>8.49</v>
      </c>
      <c r="C79" s="5">
        <f t="shared" si="6"/>
        <v>2.9300000000000006</v>
      </c>
      <c r="D79" s="5">
        <f t="shared" si="7"/>
        <v>14.05</v>
      </c>
      <c r="E79" s="5">
        <v>8.49</v>
      </c>
      <c r="F79">
        <v>3</v>
      </c>
      <c r="G79">
        <v>8</v>
      </c>
      <c r="H79" s="8">
        <v>7</v>
      </c>
      <c r="I79" t="s">
        <v>75</v>
      </c>
      <c r="J79" t="s">
        <v>76</v>
      </c>
      <c r="K79" t="s">
        <v>77</v>
      </c>
      <c r="L79">
        <v>5.56</v>
      </c>
    </row>
    <row r="80" spans="1:17" x14ac:dyDescent="0.55000000000000004">
      <c r="A80" t="s">
        <v>37</v>
      </c>
      <c r="B80">
        <v>9.1</v>
      </c>
      <c r="C80" s="5">
        <f t="shared" si="6"/>
        <v>3.54</v>
      </c>
      <c r="D80" s="5">
        <f t="shared" si="7"/>
        <v>14.66</v>
      </c>
      <c r="E80" s="5">
        <v>9.1</v>
      </c>
      <c r="F80">
        <v>4</v>
      </c>
      <c r="G80">
        <v>9</v>
      </c>
      <c r="H80" s="8">
        <v>10</v>
      </c>
      <c r="I80" t="s">
        <v>75</v>
      </c>
      <c r="J80" t="s">
        <v>76</v>
      </c>
      <c r="K80" t="s">
        <v>77</v>
      </c>
      <c r="L80">
        <v>5.56</v>
      </c>
    </row>
    <row r="81" spans="1:12" x14ac:dyDescent="0.55000000000000004">
      <c r="A81" t="s">
        <v>34</v>
      </c>
      <c r="B81">
        <v>9.23</v>
      </c>
      <c r="C81" s="5">
        <f t="shared" si="6"/>
        <v>3.6700000000000008</v>
      </c>
      <c r="D81" s="5">
        <f t="shared" si="7"/>
        <v>14.79</v>
      </c>
      <c r="E81" s="5">
        <v>3.67</v>
      </c>
      <c r="F81">
        <v>5</v>
      </c>
      <c r="G81">
        <v>3</v>
      </c>
      <c r="H81" s="8">
        <v>2</v>
      </c>
      <c r="I81" t="s">
        <v>75</v>
      </c>
      <c r="J81" t="s">
        <v>76</v>
      </c>
      <c r="K81" t="s">
        <v>77</v>
      </c>
      <c r="L81">
        <v>5.56</v>
      </c>
    </row>
    <row r="82" spans="1:12" x14ac:dyDescent="0.55000000000000004">
      <c r="A82" t="s">
        <v>38</v>
      </c>
      <c r="B82">
        <v>9.23</v>
      </c>
      <c r="C82" s="5">
        <f t="shared" si="6"/>
        <v>3.6700000000000008</v>
      </c>
      <c r="D82" s="5">
        <f t="shared" si="7"/>
        <v>14.79</v>
      </c>
      <c r="E82" s="5">
        <v>3.67</v>
      </c>
      <c r="F82">
        <v>6</v>
      </c>
      <c r="G82">
        <v>2</v>
      </c>
      <c r="H82" s="8">
        <v>17</v>
      </c>
      <c r="I82" t="s">
        <v>75</v>
      </c>
      <c r="J82" t="s">
        <v>76</v>
      </c>
      <c r="K82" t="s">
        <v>77</v>
      </c>
      <c r="L82">
        <v>5.56</v>
      </c>
    </row>
    <row r="83" spans="1:12" x14ac:dyDescent="0.55000000000000004">
      <c r="A83" t="s">
        <v>25</v>
      </c>
      <c r="B83">
        <v>9.7200000000000006</v>
      </c>
      <c r="C83" s="5">
        <f t="shared" si="6"/>
        <v>4.160000000000001</v>
      </c>
      <c r="D83" s="5">
        <f t="shared" si="7"/>
        <v>15.280000000000001</v>
      </c>
      <c r="E83" s="5">
        <v>9.7200000000000006</v>
      </c>
      <c r="F83">
        <v>7</v>
      </c>
      <c r="G83">
        <v>10</v>
      </c>
      <c r="H83" s="8">
        <v>6</v>
      </c>
      <c r="I83" t="s">
        <v>75</v>
      </c>
      <c r="J83" t="s">
        <v>76</v>
      </c>
      <c r="K83" t="s">
        <v>77</v>
      </c>
      <c r="L83">
        <v>5.56</v>
      </c>
    </row>
    <row r="84" spans="1:12" x14ac:dyDescent="0.55000000000000004">
      <c r="A84" t="s">
        <v>33</v>
      </c>
      <c r="B84">
        <v>9.75</v>
      </c>
      <c r="C84" s="5">
        <f t="shared" si="6"/>
        <v>4.1900000000000004</v>
      </c>
      <c r="D84" s="5">
        <f t="shared" si="7"/>
        <v>15.309999999999999</v>
      </c>
      <c r="E84" s="5">
        <v>4.1900000000000004</v>
      </c>
      <c r="F84">
        <v>8</v>
      </c>
      <c r="G84">
        <v>4</v>
      </c>
      <c r="H84" s="8">
        <v>5</v>
      </c>
      <c r="I84" t="s">
        <v>75</v>
      </c>
      <c r="J84" t="s">
        <v>76</v>
      </c>
      <c r="K84" t="s">
        <v>77</v>
      </c>
      <c r="L84">
        <v>5.56</v>
      </c>
    </row>
    <row r="85" spans="1:12" x14ac:dyDescent="0.55000000000000004">
      <c r="A85" t="s">
        <v>40</v>
      </c>
      <c r="B85">
        <v>10.71</v>
      </c>
      <c r="C85" s="5">
        <f t="shared" si="6"/>
        <v>5.1500000000000012</v>
      </c>
      <c r="D85" s="5">
        <f t="shared" si="7"/>
        <v>16.27</v>
      </c>
      <c r="E85" s="5">
        <v>5.15</v>
      </c>
      <c r="F85">
        <v>9</v>
      </c>
      <c r="G85">
        <v>5</v>
      </c>
      <c r="H85" s="8">
        <v>12</v>
      </c>
      <c r="I85" t="s">
        <v>75</v>
      </c>
      <c r="J85" t="s">
        <v>76</v>
      </c>
      <c r="K85" t="s">
        <v>77</v>
      </c>
      <c r="L85">
        <v>5.56</v>
      </c>
    </row>
    <row r="86" spans="1:12" x14ac:dyDescent="0.55000000000000004">
      <c r="A86" t="s">
        <v>45</v>
      </c>
      <c r="B86">
        <v>10.86</v>
      </c>
      <c r="C86" s="5">
        <f t="shared" si="6"/>
        <v>5.3</v>
      </c>
      <c r="D86" s="5">
        <f t="shared" si="7"/>
        <v>16.419999999999998</v>
      </c>
      <c r="E86" s="5">
        <v>10.86</v>
      </c>
      <c r="F86">
        <v>10</v>
      </c>
      <c r="G86">
        <v>11</v>
      </c>
      <c r="H86" s="8">
        <v>11</v>
      </c>
      <c r="I86" t="s">
        <v>75</v>
      </c>
      <c r="J86" t="s">
        <v>76</v>
      </c>
      <c r="K86" t="s">
        <v>77</v>
      </c>
      <c r="L86">
        <v>5.56</v>
      </c>
    </row>
    <row r="87" spans="1:12" x14ac:dyDescent="0.55000000000000004">
      <c r="A87" t="s">
        <v>35</v>
      </c>
      <c r="B87">
        <v>11.03</v>
      </c>
      <c r="C87" s="5">
        <f t="shared" si="6"/>
        <v>5.47</v>
      </c>
      <c r="D87" s="5">
        <f t="shared" si="7"/>
        <v>16.59</v>
      </c>
      <c r="E87" s="5">
        <v>5.47</v>
      </c>
      <c r="F87">
        <v>11</v>
      </c>
      <c r="G87">
        <v>6</v>
      </c>
      <c r="H87" s="8">
        <v>4</v>
      </c>
      <c r="I87" t="s">
        <v>75</v>
      </c>
      <c r="J87" t="s">
        <v>76</v>
      </c>
      <c r="K87" t="s">
        <v>77</v>
      </c>
      <c r="L87">
        <v>5.56</v>
      </c>
    </row>
    <row r="88" spans="1:12" x14ac:dyDescent="0.55000000000000004">
      <c r="A88" t="s">
        <v>44</v>
      </c>
      <c r="B88">
        <v>11.05</v>
      </c>
      <c r="C88" s="5">
        <f t="shared" si="6"/>
        <v>5.4900000000000011</v>
      </c>
      <c r="D88" s="5">
        <f t="shared" si="7"/>
        <v>16.61</v>
      </c>
      <c r="E88" s="5">
        <v>11.05</v>
      </c>
      <c r="F88">
        <v>12</v>
      </c>
      <c r="G88">
        <v>12</v>
      </c>
      <c r="H88" s="8">
        <v>13</v>
      </c>
      <c r="I88" t="s">
        <v>75</v>
      </c>
      <c r="J88" t="s">
        <v>76</v>
      </c>
      <c r="K88" t="s">
        <v>77</v>
      </c>
      <c r="L88">
        <v>5.56</v>
      </c>
    </row>
    <row r="89" spans="1:12" x14ac:dyDescent="0.55000000000000004">
      <c r="A89" t="s">
        <v>28</v>
      </c>
      <c r="B89">
        <v>11.75</v>
      </c>
      <c r="C89" s="5">
        <f t="shared" si="6"/>
        <v>6.19</v>
      </c>
      <c r="D89" s="5">
        <f t="shared" si="7"/>
        <v>17.309999999999999</v>
      </c>
      <c r="E89" s="5">
        <v>11.75</v>
      </c>
      <c r="F89">
        <v>13</v>
      </c>
      <c r="G89">
        <v>13</v>
      </c>
      <c r="H89" s="8">
        <v>9</v>
      </c>
      <c r="I89" t="s">
        <v>75</v>
      </c>
      <c r="J89" t="s">
        <v>76</v>
      </c>
      <c r="K89" t="s">
        <v>77</v>
      </c>
      <c r="L89">
        <v>5.56</v>
      </c>
    </row>
    <row r="90" spans="1:12" x14ac:dyDescent="0.55000000000000004">
      <c r="A90" t="s">
        <v>41</v>
      </c>
      <c r="B90">
        <v>11.83</v>
      </c>
      <c r="C90" s="5">
        <f t="shared" si="6"/>
        <v>6.2700000000000005</v>
      </c>
      <c r="D90" s="5">
        <f t="shared" si="7"/>
        <v>17.39</v>
      </c>
      <c r="E90" s="5">
        <v>17.39</v>
      </c>
      <c r="F90">
        <v>14</v>
      </c>
      <c r="G90">
        <v>20</v>
      </c>
      <c r="H90" s="8">
        <v>3</v>
      </c>
      <c r="I90" t="s">
        <v>75</v>
      </c>
      <c r="J90" t="s">
        <v>76</v>
      </c>
      <c r="K90" t="s">
        <v>77</v>
      </c>
      <c r="L90">
        <v>5.56</v>
      </c>
    </row>
    <row r="91" spans="1:12" x14ac:dyDescent="0.55000000000000004">
      <c r="A91" t="s">
        <v>48</v>
      </c>
      <c r="B91">
        <v>12.26</v>
      </c>
      <c r="C91" s="5">
        <f t="shared" si="6"/>
        <v>6.7</v>
      </c>
      <c r="D91" s="5">
        <f t="shared" si="7"/>
        <v>17.82</v>
      </c>
      <c r="E91" s="5">
        <v>12.26</v>
      </c>
      <c r="F91">
        <v>15</v>
      </c>
      <c r="G91">
        <v>14</v>
      </c>
      <c r="H91" s="8">
        <v>20</v>
      </c>
      <c r="I91" t="s">
        <v>75</v>
      </c>
      <c r="J91" t="s">
        <v>76</v>
      </c>
      <c r="K91" t="s">
        <v>77</v>
      </c>
      <c r="L91">
        <v>5.56</v>
      </c>
    </row>
    <row r="92" spans="1:12" x14ac:dyDescent="0.55000000000000004">
      <c r="A92" t="s">
        <v>31</v>
      </c>
      <c r="B92">
        <v>13.14</v>
      </c>
      <c r="C92" s="5">
        <f t="shared" si="6"/>
        <v>7.580000000000001</v>
      </c>
      <c r="D92" s="5">
        <f t="shared" si="7"/>
        <v>18.7</v>
      </c>
      <c r="E92" s="5">
        <v>13.14</v>
      </c>
      <c r="F92">
        <v>16</v>
      </c>
      <c r="G92">
        <v>15</v>
      </c>
      <c r="H92" s="8">
        <v>15</v>
      </c>
      <c r="I92" t="s">
        <v>75</v>
      </c>
      <c r="J92" t="s">
        <v>76</v>
      </c>
      <c r="K92" t="s">
        <v>77</v>
      </c>
      <c r="L92">
        <v>5.56</v>
      </c>
    </row>
    <row r="93" spans="1:12" x14ac:dyDescent="0.55000000000000004">
      <c r="A93" t="s">
        <v>49</v>
      </c>
      <c r="B93">
        <v>13.59</v>
      </c>
      <c r="C93" s="5">
        <f t="shared" si="6"/>
        <v>8.0300000000000011</v>
      </c>
      <c r="D93" s="5">
        <f t="shared" si="7"/>
        <v>19.149999999999999</v>
      </c>
      <c r="E93" s="5">
        <v>13.59</v>
      </c>
      <c r="F93">
        <v>17</v>
      </c>
      <c r="G93">
        <v>16</v>
      </c>
      <c r="H93" s="8">
        <v>14</v>
      </c>
      <c r="I93" t="s">
        <v>75</v>
      </c>
      <c r="J93" t="s">
        <v>76</v>
      </c>
      <c r="K93" t="s">
        <v>77</v>
      </c>
      <c r="L93">
        <v>5.56</v>
      </c>
    </row>
    <row r="94" spans="1:12" x14ac:dyDescent="0.55000000000000004">
      <c r="A94" t="s">
        <v>47</v>
      </c>
      <c r="B94">
        <v>13.94</v>
      </c>
      <c r="C94" s="5">
        <f t="shared" si="6"/>
        <v>8.379999999999999</v>
      </c>
      <c r="D94" s="5">
        <f t="shared" si="7"/>
        <v>19.5</v>
      </c>
      <c r="E94" s="5">
        <v>19.5</v>
      </c>
      <c r="F94">
        <v>18</v>
      </c>
      <c r="G94">
        <v>21</v>
      </c>
      <c r="H94" s="8">
        <v>18</v>
      </c>
      <c r="I94" t="s">
        <v>75</v>
      </c>
      <c r="J94" t="s">
        <v>76</v>
      </c>
      <c r="K94" t="s">
        <v>77</v>
      </c>
      <c r="L94">
        <v>5.56</v>
      </c>
    </row>
    <row r="95" spans="1:12" x14ac:dyDescent="0.55000000000000004">
      <c r="A95" t="s">
        <v>42</v>
      </c>
      <c r="B95">
        <v>14.04</v>
      </c>
      <c r="C95" s="5">
        <f t="shared" si="6"/>
        <v>8.48</v>
      </c>
      <c r="D95" s="5">
        <f t="shared" si="7"/>
        <v>19.599999999999998</v>
      </c>
      <c r="E95" s="5">
        <v>19.600000000000001</v>
      </c>
      <c r="F95">
        <v>19</v>
      </c>
      <c r="G95">
        <v>22</v>
      </c>
      <c r="H95" s="8">
        <v>19</v>
      </c>
      <c r="I95" t="s">
        <v>75</v>
      </c>
      <c r="J95" t="s">
        <v>76</v>
      </c>
      <c r="K95" t="s">
        <v>77</v>
      </c>
      <c r="L95">
        <v>5.56</v>
      </c>
    </row>
    <row r="96" spans="1:12" x14ac:dyDescent="0.55000000000000004">
      <c r="A96" t="s">
        <v>29</v>
      </c>
      <c r="B96">
        <v>14.33</v>
      </c>
      <c r="C96" s="5">
        <f t="shared" si="6"/>
        <v>8.77</v>
      </c>
      <c r="D96" s="5">
        <f t="shared" si="7"/>
        <v>19.89</v>
      </c>
      <c r="E96" s="5">
        <v>14.33</v>
      </c>
      <c r="F96">
        <v>20</v>
      </c>
      <c r="G96">
        <v>17</v>
      </c>
      <c r="H96" s="8">
        <v>8</v>
      </c>
      <c r="I96" t="s">
        <v>75</v>
      </c>
      <c r="J96" t="s">
        <v>76</v>
      </c>
      <c r="K96" t="s">
        <v>77</v>
      </c>
      <c r="L96">
        <v>5.56</v>
      </c>
    </row>
    <row r="97" spans="1:15" x14ac:dyDescent="0.55000000000000004">
      <c r="A97" t="s">
        <v>30</v>
      </c>
      <c r="B97">
        <v>14.44</v>
      </c>
      <c r="C97" s="5">
        <f t="shared" si="6"/>
        <v>8.879999999999999</v>
      </c>
      <c r="D97" s="5">
        <f t="shared" si="7"/>
        <v>20</v>
      </c>
      <c r="E97" s="5">
        <v>14.44</v>
      </c>
      <c r="F97">
        <v>21</v>
      </c>
      <c r="G97">
        <v>18</v>
      </c>
      <c r="H97" s="8">
        <v>25</v>
      </c>
      <c r="I97" t="s">
        <v>75</v>
      </c>
      <c r="J97" t="s">
        <v>76</v>
      </c>
      <c r="K97" t="s">
        <v>77</v>
      </c>
      <c r="L97">
        <v>5.56</v>
      </c>
    </row>
    <row r="98" spans="1:15" x14ac:dyDescent="0.55000000000000004">
      <c r="A98" t="s">
        <v>46</v>
      </c>
      <c r="B98">
        <v>15.23</v>
      </c>
      <c r="C98" s="5">
        <f t="shared" si="6"/>
        <v>9.6700000000000017</v>
      </c>
      <c r="D98" s="5">
        <f t="shared" si="7"/>
        <v>20.79</v>
      </c>
      <c r="E98" s="5">
        <v>20.79</v>
      </c>
      <c r="F98">
        <v>22</v>
      </c>
      <c r="G98">
        <v>23</v>
      </c>
      <c r="H98" s="8">
        <v>24</v>
      </c>
      <c r="I98" t="s">
        <v>75</v>
      </c>
      <c r="J98" t="s">
        <v>76</v>
      </c>
      <c r="K98" t="s">
        <v>77</v>
      </c>
      <c r="L98">
        <v>5.56</v>
      </c>
    </row>
    <row r="99" spans="1:15" x14ac:dyDescent="0.55000000000000004">
      <c r="A99" t="s">
        <v>32</v>
      </c>
      <c r="B99">
        <v>15.95</v>
      </c>
      <c r="C99" s="5">
        <f t="shared" si="6"/>
        <v>10.39</v>
      </c>
      <c r="D99" s="5">
        <f t="shared" si="7"/>
        <v>21.509999999999998</v>
      </c>
      <c r="E99" s="5">
        <v>15.95</v>
      </c>
      <c r="F99">
        <v>23</v>
      </c>
      <c r="G99">
        <v>19</v>
      </c>
      <c r="H99" s="8">
        <v>23</v>
      </c>
      <c r="I99" t="s">
        <v>75</v>
      </c>
      <c r="J99" t="s">
        <v>76</v>
      </c>
      <c r="K99" t="s">
        <v>77</v>
      </c>
      <c r="L99">
        <v>5.56</v>
      </c>
    </row>
    <row r="100" spans="1:15" x14ac:dyDescent="0.55000000000000004">
      <c r="A100" t="s">
        <v>26</v>
      </c>
      <c r="B100">
        <v>16.3</v>
      </c>
      <c r="C100" s="5">
        <f t="shared" si="6"/>
        <v>10.740000000000002</v>
      </c>
      <c r="D100" s="5">
        <f t="shared" si="7"/>
        <v>21.86</v>
      </c>
      <c r="E100" s="5">
        <v>21.86</v>
      </c>
      <c r="F100">
        <v>24</v>
      </c>
      <c r="G100">
        <v>24</v>
      </c>
      <c r="H100" s="8">
        <v>21</v>
      </c>
      <c r="I100" t="s">
        <v>75</v>
      </c>
      <c r="J100" t="s">
        <v>76</v>
      </c>
      <c r="K100" t="s">
        <v>77</v>
      </c>
      <c r="L100">
        <v>5.56</v>
      </c>
    </row>
    <row r="101" spans="1:15" x14ac:dyDescent="0.55000000000000004">
      <c r="A101" t="s">
        <v>43</v>
      </c>
      <c r="B101">
        <v>16.68</v>
      </c>
      <c r="C101" s="5">
        <f t="shared" si="6"/>
        <v>11.120000000000001</v>
      </c>
      <c r="D101" s="5">
        <f t="shared" si="7"/>
        <v>22.24</v>
      </c>
      <c r="E101" s="5">
        <v>22.24</v>
      </c>
      <c r="F101">
        <v>25</v>
      </c>
      <c r="G101">
        <v>25</v>
      </c>
      <c r="H101" s="8">
        <v>22</v>
      </c>
      <c r="I101" t="s">
        <v>75</v>
      </c>
      <c r="J101" t="s">
        <v>76</v>
      </c>
      <c r="K101" t="s">
        <v>77</v>
      </c>
      <c r="L101">
        <v>5.56</v>
      </c>
    </row>
    <row r="102" spans="1:15" x14ac:dyDescent="0.55000000000000004">
      <c r="A102" s="6" t="s">
        <v>39</v>
      </c>
      <c r="B102" s="6">
        <v>7.76</v>
      </c>
      <c r="C102" s="5">
        <f>B102-L102</f>
        <v>2.2699999999999996</v>
      </c>
      <c r="D102" s="5">
        <f>B102+L102</f>
        <v>13.25</v>
      </c>
      <c r="E102" s="5">
        <v>2.27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77</v>
      </c>
      <c r="L102">
        <v>5.49</v>
      </c>
      <c r="N102" s="6"/>
      <c r="O102" s="5"/>
    </row>
    <row r="103" spans="1:15" x14ac:dyDescent="0.55000000000000004">
      <c r="A103" s="6" t="s">
        <v>27</v>
      </c>
      <c r="B103" s="6">
        <v>7.95</v>
      </c>
      <c r="C103" s="5">
        <f t="shared" ref="C103:C126" si="8">B103-L103</f>
        <v>2.46</v>
      </c>
      <c r="D103" s="5">
        <f t="shared" ref="D103:D126" si="9">B103+L103</f>
        <v>13.440000000000001</v>
      </c>
      <c r="E103" s="5">
        <v>7.95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77</v>
      </c>
      <c r="L103">
        <v>5.49</v>
      </c>
      <c r="N103" s="6"/>
      <c r="O103" s="5"/>
    </row>
    <row r="104" spans="1:15" x14ac:dyDescent="0.55000000000000004">
      <c r="A104" s="6" t="s">
        <v>33</v>
      </c>
      <c r="B104" s="6">
        <v>8.18</v>
      </c>
      <c r="C104" s="5">
        <f t="shared" si="8"/>
        <v>2.6899999999999995</v>
      </c>
      <c r="D104" s="5">
        <f t="shared" si="9"/>
        <v>13.67</v>
      </c>
      <c r="E104" s="5">
        <v>2.69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77</v>
      </c>
      <c r="L104">
        <v>5.49</v>
      </c>
      <c r="N104" s="6"/>
      <c r="O104" s="5"/>
    </row>
    <row r="105" spans="1:15" x14ac:dyDescent="0.55000000000000004">
      <c r="A105" s="6" t="s">
        <v>36</v>
      </c>
      <c r="B105" s="6">
        <v>8.5</v>
      </c>
      <c r="C105" s="5">
        <f t="shared" si="8"/>
        <v>3.01</v>
      </c>
      <c r="D105" s="5">
        <f t="shared" si="9"/>
        <v>13.99</v>
      </c>
      <c r="E105" s="5">
        <v>8.5</v>
      </c>
      <c r="F105">
        <v>4</v>
      </c>
      <c r="G105" s="8">
        <v>8</v>
      </c>
      <c r="H105" s="8">
        <v>6</v>
      </c>
      <c r="I105" t="s">
        <v>88</v>
      </c>
      <c r="J105" t="s">
        <v>82</v>
      </c>
      <c r="K105" t="s">
        <v>77</v>
      </c>
      <c r="L105">
        <v>5.49</v>
      </c>
      <c r="N105" s="6"/>
      <c r="O105" s="5"/>
    </row>
    <row r="106" spans="1:15" x14ac:dyDescent="0.55000000000000004">
      <c r="A106" s="6" t="s">
        <v>37</v>
      </c>
      <c r="B106" s="6">
        <v>9.1</v>
      </c>
      <c r="C106" s="5">
        <f t="shared" si="8"/>
        <v>3.6099999999999994</v>
      </c>
      <c r="D106" s="5">
        <f t="shared" si="9"/>
        <v>14.59</v>
      </c>
      <c r="E106" s="5">
        <v>9.1</v>
      </c>
      <c r="F106">
        <v>5</v>
      </c>
      <c r="G106" s="8">
        <v>9</v>
      </c>
      <c r="H106" s="8">
        <v>14</v>
      </c>
      <c r="I106" t="s">
        <v>88</v>
      </c>
      <c r="J106" t="s">
        <v>82</v>
      </c>
      <c r="K106" t="s">
        <v>77</v>
      </c>
      <c r="L106">
        <v>5.49</v>
      </c>
      <c r="N106" s="6"/>
      <c r="O106" s="5"/>
    </row>
    <row r="107" spans="1:15" x14ac:dyDescent="0.55000000000000004">
      <c r="A107" s="6" t="s">
        <v>38</v>
      </c>
      <c r="B107" s="6">
        <v>9.2799999999999994</v>
      </c>
      <c r="C107" s="5">
        <f t="shared" si="8"/>
        <v>3.7899999999999991</v>
      </c>
      <c r="D107" s="5">
        <f t="shared" si="9"/>
        <v>14.77</v>
      </c>
      <c r="E107" s="5">
        <v>3.79</v>
      </c>
      <c r="F107">
        <v>6</v>
      </c>
      <c r="G107" s="8">
        <v>3</v>
      </c>
      <c r="H107" s="8">
        <v>5</v>
      </c>
      <c r="I107" t="s">
        <v>88</v>
      </c>
      <c r="J107" t="s">
        <v>82</v>
      </c>
      <c r="K107" t="s">
        <v>77</v>
      </c>
      <c r="L107">
        <v>5.49</v>
      </c>
      <c r="N107" s="6"/>
      <c r="O107" s="5"/>
    </row>
    <row r="108" spans="1:15" x14ac:dyDescent="0.55000000000000004">
      <c r="A108" s="6" t="s">
        <v>34</v>
      </c>
      <c r="B108" s="6">
        <v>9.81</v>
      </c>
      <c r="C108" s="5">
        <f t="shared" si="8"/>
        <v>4.32</v>
      </c>
      <c r="D108" s="5">
        <f t="shared" si="9"/>
        <v>15.3</v>
      </c>
      <c r="E108" s="5">
        <v>4.32</v>
      </c>
      <c r="F108">
        <v>7</v>
      </c>
      <c r="G108" s="8">
        <v>4</v>
      </c>
      <c r="H108" s="8">
        <v>20</v>
      </c>
      <c r="I108" t="s">
        <v>88</v>
      </c>
      <c r="J108" t="s">
        <v>82</v>
      </c>
      <c r="K108" t="s">
        <v>77</v>
      </c>
      <c r="L108">
        <v>5.49</v>
      </c>
      <c r="N108" s="6"/>
      <c r="O108" s="5"/>
    </row>
    <row r="109" spans="1:15" x14ac:dyDescent="0.55000000000000004">
      <c r="A109" s="6" t="s">
        <v>25</v>
      </c>
      <c r="B109" s="6">
        <v>9.9600000000000009</v>
      </c>
      <c r="C109" s="5">
        <f t="shared" si="8"/>
        <v>4.4700000000000006</v>
      </c>
      <c r="D109" s="5">
        <f t="shared" si="9"/>
        <v>15.450000000000001</v>
      </c>
      <c r="E109" s="5">
        <v>9.9600000000000009</v>
      </c>
      <c r="F109">
        <v>8</v>
      </c>
      <c r="G109" s="8">
        <v>11</v>
      </c>
      <c r="H109" s="8">
        <v>24</v>
      </c>
      <c r="I109" t="s">
        <v>88</v>
      </c>
      <c r="J109" t="s">
        <v>82</v>
      </c>
      <c r="K109" t="s">
        <v>77</v>
      </c>
      <c r="L109">
        <v>5.49</v>
      </c>
      <c r="N109" s="6"/>
      <c r="O109" s="5"/>
    </row>
    <row r="110" spans="1:15" x14ac:dyDescent="0.55000000000000004">
      <c r="A110" s="6" t="s">
        <v>40</v>
      </c>
      <c r="B110" s="6">
        <v>10.36</v>
      </c>
      <c r="C110" s="5">
        <f t="shared" si="8"/>
        <v>4.8699999999999992</v>
      </c>
      <c r="D110" s="5">
        <f t="shared" si="9"/>
        <v>15.85</v>
      </c>
      <c r="E110" s="5">
        <v>4.87</v>
      </c>
      <c r="F110">
        <v>9</v>
      </c>
      <c r="G110" s="8">
        <v>5</v>
      </c>
      <c r="H110" s="8">
        <v>19</v>
      </c>
      <c r="I110" t="s">
        <v>88</v>
      </c>
      <c r="J110" t="s">
        <v>82</v>
      </c>
      <c r="K110" t="s">
        <v>77</v>
      </c>
      <c r="L110">
        <v>5.49</v>
      </c>
      <c r="N110" s="6"/>
      <c r="O110" s="5"/>
    </row>
    <row r="111" spans="1:15" x14ac:dyDescent="0.55000000000000004">
      <c r="A111" s="6" t="s">
        <v>35</v>
      </c>
      <c r="B111" s="6">
        <v>10.65</v>
      </c>
      <c r="C111" s="5">
        <f t="shared" si="8"/>
        <v>5.16</v>
      </c>
      <c r="D111" s="5">
        <f t="shared" si="9"/>
        <v>16.14</v>
      </c>
      <c r="E111" s="5">
        <v>5.16</v>
      </c>
      <c r="F111">
        <v>10</v>
      </c>
      <c r="G111" s="8">
        <v>6</v>
      </c>
      <c r="H111" s="8">
        <v>7</v>
      </c>
      <c r="I111" t="s">
        <v>88</v>
      </c>
      <c r="J111" t="s">
        <v>82</v>
      </c>
      <c r="K111" t="s">
        <v>77</v>
      </c>
      <c r="L111">
        <v>5.49</v>
      </c>
      <c r="N111" s="6"/>
      <c r="O111" s="5"/>
    </row>
    <row r="112" spans="1:15" x14ac:dyDescent="0.55000000000000004">
      <c r="A112" s="6" t="s">
        <v>28</v>
      </c>
      <c r="B112" s="6">
        <v>10.85</v>
      </c>
      <c r="C112" s="5">
        <f t="shared" si="8"/>
        <v>5.3599999999999994</v>
      </c>
      <c r="D112" s="5">
        <f t="shared" si="9"/>
        <v>16.34</v>
      </c>
      <c r="E112" s="5">
        <v>10.85</v>
      </c>
      <c r="F112">
        <v>11</v>
      </c>
      <c r="G112" s="8">
        <v>12</v>
      </c>
      <c r="H112" s="8">
        <v>25</v>
      </c>
      <c r="I112" t="s">
        <v>88</v>
      </c>
      <c r="J112" t="s">
        <v>82</v>
      </c>
      <c r="K112" t="s">
        <v>77</v>
      </c>
      <c r="L112">
        <v>5.49</v>
      </c>
      <c r="N112" s="6"/>
      <c r="O112" s="5"/>
    </row>
    <row r="113" spans="1:15" x14ac:dyDescent="0.55000000000000004">
      <c r="A113" s="6" t="s">
        <v>45</v>
      </c>
      <c r="B113" s="6">
        <v>11.79</v>
      </c>
      <c r="C113" s="5">
        <f t="shared" si="8"/>
        <v>6.2999999999999989</v>
      </c>
      <c r="D113" s="5">
        <f t="shared" si="9"/>
        <v>17.28</v>
      </c>
      <c r="E113" s="5">
        <v>11.79</v>
      </c>
      <c r="F113">
        <v>12</v>
      </c>
      <c r="G113" s="8">
        <v>13</v>
      </c>
      <c r="H113" s="8">
        <v>9</v>
      </c>
      <c r="I113" t="s">
        <v>88</v>
      </c>
      <c r="J113" t="s">
        <v>82</v>
      </c>
      <c r="K113" t="s">
        <v>77</v>
      </c>
      <c r="L113">
        <v>5.49</v>
      </c>
      <c r="N113" s="6"/>
      <c r="O113" s="5"/>
    </row>
    <row r="114" spans="1:15" x14ac:dyDescent="0.55000000000000004">
      <c r="A114" s="6" t="s">
        <v>48</v>
      </c>
      <c r="B114" s="6">
        <v>11.81</v>
      </c>
      <c r="C114" s="5">
        <f t="shared" si="8"/>
        <v>6.32</v>
      </c>
      <c r="D114" s="5">
        <f t="shared" si="9"/>
        <v>17.3</v>
      </c>
      <c r="E114" s="5">
        <v>11.81</v>
      </c>
      <c r="F114">
        <v>13</v>
      </c>
      <c r="G114" s="8">
        <v>14</v>
      </c>
      <c r="H114" s="8">
        <v>10</v>
      </c>
      <c r="I114" t="s">
        <v>88</v>
      </c>
      <c r="J114" t="s">
        <v>82</v>
      </c>
      <c r="K114" t="s">
        <v>77</v>
      </c>
      <c r="L114">
        <v>5.49</v>
      </c>
      <c r="N114" s="6"/>
      <c r="O114" s="5"/>
    </row>
    <row r="115" spans="1:15" x14ac:dyDescent="0.55000000000000004">
      <c r="A115" s="6" t="s">
        <v>44</v>
      </c>
      <c r="B115" s="6">
        <v>12.17</v>
      </c>
      <c r="C115" s="5">
        <f t="shared" si="8"/>
        <v>6.68</v>
      </c>
      <c r="D115" s="5">
        <f t="shared" si="9"/>
        <v>17.66</v>
      </c>
      <c r="E115" s="5">
        <v>12.17</v>
      </c>
      <c r="F115">
        <v>14</v>
      </c>
      <c r="G115" s="8">
        <v>15</v>
      </c>
      <c r="H115" s="8">
        <v>2</v>
      </c>
      <c r="I115" t="s">
        <v>88</v>
      </c>
      <c r="J115" t="s">
        <v>82</v>
      </c>
      <c r="K115" t="s">
        <v>77</v>
      </c>
      <c r="L115">
        <v>5.49</v>
      </c>
      <c r="N115" s="6"/>
      <c r="O115" s="5"/>
    </row>
    <row r="116" spans="1:15" x14ac:dyDescent="0.55000000000000004">
      <c r="A116" s="6" t="s">
        <v>41</v>
      </c>
      <c r="B116" s="6">
        <v>12.49</v>
      </c>
      <c r="C116" s="5">
        <f t="shared" si="8"/>
        <v>7</v>
      </c>
      <c r="D116" s="5">
        <f t="shared" si="9"/>
        <v>17.98</v>
      </c>
      <c r="E116" s="5">
        <v>12.49</v>
      </c>
      <c r="F116">
        <v>15</v>
      </c>
      <c r="G116" s="8">
        <v>16</v>
      </c>
      <c r="H116" s="8">
        <v>8</v>
      </c>
      <c r="I116" t="s">
        <v>88</v>
      </c>
      <c r="J116" t="s">
        <v>82</v>
      </c>
      <c r="K116" t="s">
        <v>77</v>
      </c>
      <c r="L116">
        <v>5.49</v>
      </c>
      <c r="N116" s="6"/>
      <c r="O116" s="5"/>
    </row>
    <row r="117" spans="1:15" x14ac:dyDescent="0.55000000000000004">
      <c r="A117" s="6" t="s">
        <v>32</v>
      </c>
      <c r="B117" s="6">
        <v>14.34</v>
      </c>
      <c r="C117" s="5">
        <f t="shared" si="8"/>
        <v>8.85</v>
      </c>
      <c r="D117" s="5">
        <f t="shared" si="9"/>
        <v>19.829999999999998</v>
      </c>
      <c r="E117" s="5">
        <v>14.34</v>
      </c>
      <c r="F117">
        <v>16</v>
      </c>
      <c r="G117" s="8">
        <v>17</v>
      </c>
      <c r="H117" s="8">
        <v>11</v>
      </c>
      <c r="I117" t="s">
        <v>88</v>
      </c>
      <c r="J117" t="s">
        <v>82</v>
      </c>
      <c r="K117" t="s">
        <v>77</v>
      </c>
      <c r="L117">
        <v>5.49</v>
      </c>
      <c r="N117" s="6"/>
      <c r="O117" s="5"/>
    </row>
    <row r="118" spans="1:15" x14ac:dyDescent="0.55000000000000004">
      <c r="A118" s="6" t="s">
        <v>49</v>
      </c>
      <c r="B118" s="6">
        <v>14.41</v>
      </c>
      <c r="C118" s="5">
        <f t="shared" si="8"/>
        <v>8.92</v>
      </c>
      <c r="D118" s="5">
        <f t="shared" si="9"/>
        <v>19.899999999999999</v>
      </c>
      <c r="E118" s="5">
        <v>14.41</v>
      </c>
      <c r="F118">
        <v>17</v>
      </c>
      <c r="G118" s="8">
        <v>18</v>
      </c>
      <c r="H118" s="8">
        <v>13</v>
      </c>
      <c r="I118" t="s">
        <v>88</v>
      </c>
      <c r="J118" t="s">
        <v>82</v>
      </c>
      <c r="K118" t="s">
        <v>77</v>
      </c>
      <c r="L118">
        <v>5.49</v>
      </c>
      <c r="N118" s="6"/>
      <c r="O118" s="5"/>
    </row>
    <row r="119" spans="1:15" x14ac:dyDescent="0.55000000000000004">
      <c r="A119" s="6" t="s">
        <v>42</v>
      </c>
      <c r="B119" s="6">
        <v>14.42</v>
      </c>
      <c r="C119" s="5">
        <f t="shared" si="8"/>
        <v>8.93</v>
      </c>
      <c r="D119" s="5">
        <f t="shared" si="9"/>
        <v>19.91</v>
      </c>
      <c r="E119" s="5">
        <v>19.91</v>
      </c>
      <c r="F119">
        <v>18</v>
      </c>
      <c r="G119" s="8">
        <v>23</v>
      </c>
      <c r="H119" s="8">
        <v>15</v>
      </c>
      <c r="I119" t="s">
        <v>88</v>
      </c>
      <c r="J119" t="s">
        <v>82</v>
      </c>
      <c r="K119" t="s">
        <v>77</v>
      </c>
      <c r="L119">
        <v>5.49</v>
      </c>
      <c r="N119" s="6"/>
      <c r="O119" s="5"/>
    </row>
    <row r="120" spans="1:15" x14ac:dyDescent="0.55000000000000004">
      <c r="A120" s="6" t="s">
        <v>29</v>
      </c>
      <c r="B120" s="6">
        <v>14.55</v>
      </c>
      <c r="C120" s="5">
        <f t="shared" si="8"/>
        <v>9.06</v>
      </c>
      <c r="D120" s="5">
        <f t="shared" si="9"/>
        <v>20.04</v>
      </c>
      <c r="E120" s="5">
        <v>14.55</v>
      </c>
      <c r="F120">
        <v>19</v>
      </c>
      <c r="G120" s="8">
        <v>19</v>
      </c>
      <c r="H120" s="8">
        <v>18</v>
      </c>
      <c r="I120" t="s">
        <v>88</v>
      </c>
      <c r="J120" t="s">
        <v>82</v>
      </c>
      <c r="K120" t="s">
        <v>77</v>
      </c>
      <c r="L120">
        <v>5.49</v>
      </c>
      <c r="N120" s="6"/>
      <c r="O120" s="5"/>
    </row>
    <row r="121" spans="1:15" x14ac:dyDescent="0.55000000000000004">
      <c r="A121" s="6" t="s">
        <v>31</v>
      </c>
      <c r="B121" s="6">
        <v>14.66</v>
      </c>
      <c r="C121" s="5">
        <f t="shared" si="8"/>
        <v>9.17</v>
      </c>
      <c r="D121" s="5">
        <f t="shared" si="9"/>
        <v>20.149999999999999</v>
      </c>
      <c r="E121" s="5">
        <v>9.17</v>
      </c>
      <c r="F121">
        <v>20</v>
      </c>
      <c r="G121" s="8">
        <v>10</v>
      </c>
      <c r="H121" s="8">
        <v>21</v>
      </c>
      <c r="I121" t="s">
        <v>88</v>
      </c>
      <c r="J121" t="s">
        <v>82</v>
      </c>
      <c r="K121" t="s">
        <v>77</v>
      </c>
      <c r="L121">
        <v>5.49</v>
      </c>
      <c r="N121" s="6"/>
      <c r="O121" s="5"/>
    </row>
    <row r="122" spans="1:15" x14ac:dyDescent="0.55000000000000004">
      <c r="A122" s="6" t="s">
        <v>30</v>
      </c>
      <c r="B122" s="6">
        <v>14.86</v>
      </c>
      <c r="C122" s="5">
        <f t="shared" si="8"/>
        <v>9.3699999999999992</v>
      </c>
      <c r="D122" s="5">
        <f t="shared" si="9"/>
        <v>20.350000000000001</v>
      </c>
      <c r="E122" s="5">
        <v>14.86</v>
      </c>
      <c r="F122">
        <v>21</v>
      </c>
      <c r="G122" s="8">
        <v>20</v>
      </c>
      <c r="H122" s="8">
        <v>16</v>
      </c>
      <c r="I122" t="s">
        <v>88</v>
      </c>
      <c r="J122" t="s">
        <v>82</v>
      </c>
      <c r="K122" t="s">
        <v>77</v>
      </c>
      <c r="L122">
        <v>5.49</v>
      </c>
      <c r="N122" s="6"/>
      <c r="O122" s="5"/>
    </row>
    <row r="123" spans="1:15" x14ac:dyDescent="0.55000000000000004">
      <c r="A123" s="6" t="s">
        <v>26</v>
      </c>
      <c r="B123" s="6">
        <v>15.43</v>
      </c>
      <c r="C123" s="5">
        <f t="shared" si="8"/>
        <v>9.94</v>
      </c>
      <c r="D123" s="5">
        <f t="shared" si="9"/>
        <v>20.92</v>
      </c>
      <c r="E123" s="5">
        <v>15.43</v>
      </c>
      <c r="F123">
        <v>22</v>
      </c>
      <c r="G123" s="8">
        <v>21</v>
      </c>
      <c r="H123" s="8">
        <v>22</v>
      </c>
      <c r="I123" t="s">
        <v>88</v>
      </c>
      <c r="J123" t="s">
        <v>82</v>
      </c>
      <c r="K123" t="s">
        <v>77</v>
      </c>
      <c r="L123">
        <v>5.49</v>
      </c>
      <c r="N123" s="6"/>
      <c r="O123" s="5"/>
    </row>
    <row r="124" spans="1:15" x14ac:dyDescent="0.55000000000000004">
      <c r="A124" s="6" t="s">
        <v>47</v>
      </c>
      <c r="B124" s="6">
        <v>15.97</v>
      </c>
      <c r="C124" s="5">
        <f t="shared" si="8"/>
        <v>10.48</v>
      </c>
      <c r="D124" s="5">
        <f t="shared" si="9"/>
        <v>21.46</v>
      </c>
      <c r="E124" s="5">
        <v>21.46</v>
      </c>
      <c r="F124">
        <v>23</v>
      </c>
      <c r="G124" s="8">
        <v>24</v>
      </c>
      <c r="H124" s="8">
        <v>12</v>
      </c>
      <c r="I124" t="s">
        <v>88</v>
      </c>
      <c r="J124" t="s">
        <v>82</v>
      </c>
      <c r="K124" t="s">
        <v>77</v>
      </c>
      <c r="L124">
        <v>5.49</v>
      </c>
      <c r="N124" s="6"/>
      <c r="O124" s="5"/>
    </row>
    <row r="125" spans="1:15" x14ac:dyDescent="0.55000000000000004">
      <c r="A125" s="6" t="s">
        <v>46</v>
      </c>
      <c r="B125" s="6">
        <v>16.899999999999999</v>
      </c>
      <c r="C125" s="5">
        <f t="shared" si="8"/>
        <v>11.409999999999998</v>
      </c>
      <c r="D125" s="5">
        <f t="shared" si="9"/>
        <v>22.39</v>
      </c>
      <c r="E125" s="5">
        <v>16.899999999999999</v>
      </c>
      <c r="F125">
        <v>24</v>
      </c>
      <c r="G125" s="8">
        <v>22</v>
      </c>
      <c r="H125" s="8">
        <v>17</v>
      </c>
      <c r="I125" t="s">
        <v>88</v>
      </c>
      <c r="J125" t="s">
        <v>82</v>
      </c>
      <c r="K125" t="s">
        <v>77</v>
      </c>
      <c r="L125">
        <v>5.49</v>
      </c>
      <c r="N125" s="6"/>
      <c r="O125" s="5"/>
    </row>
    <row r="126" spans="1:15" x14ac:dyDescent="0.55000000000000004">
      <c r="A126" s="6" t="s">
        <v>43</v>
      </c>
      <c r="B126" s="6">
        <v>17.48</v>
      </c>
      <c r="C126" s="5">
        <f t="shared" si="8"/>
        <v>11.99</v>
      </c>
      <c r="D126" s="5">
        <f t="shared" si="9"/>
        <v>22.97</v>
      </c>
      <c r="E126" s="5">
        <v>22.97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77</v>
      </c>
      <c r="L126">
        <v>5.49</v>
      </c>
      <c r="N126" s="6"/>
      <c r="O126" s="5"/>
    </row>
    <row r="127" spans="1:15" x14ac:dyDescent="0.55000000000000004">
      <c r="A127" s="6" t="s">
        <v>39</v>
      </c>
      <c r="B127" s="6">
        <v>7.58</v>
      </c>
      <c r="C127" s="5">
        <f>B127-L127</f>
        <v>2.0999999999999996</v>
      </c>
      <c r="D127" s="5">
        <f>B127+L127</f>
        <v>13.06</v>
      </c>
      <c r="E127" s="5">
        <v>2.1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77</v>
      </c>
      <c r="L127">
        <v>5.48</v>
      </c>
    </row>
    <row r="128" spans="1:15" x14ac:dyDescent="0.55000000000000004">
      <c r="A128" s="6" t="s">
        <v>27</v>
      </c>
      <c r="B128" s="6">
        <v>7.95</v>
      </c>
      <c r="C128" s="5">
        <f t="shared" ref="C128:C151" si="10">B128-L128</f>
        <v>2.4699999999999998</v>
      </c>
      <c r="D128" s="5">
        <f t="shared" ref="D128:D151" si="11">B128+L128</f>
        <v>13.43</v>
      </c>
      <c r="E128" s="5">
        <v>7.95</v>
      </c>
      <c r="F128">
        <v>2</v>
      </c>
      <c r="G128" s="8">
        <v>8</v>
      </c>
      <c r="H128" s="8">
        <v>6</v>
      </c>
      <c r="I128" t="s">
        <v>89</v>
      </c>
      <c r="J128" t="s">
        <v>76</v>
      </c>
      <c r="K128" t="s">
        <v>77</v>
      </c>
      <c r="L128">
        <v>5.48</v>
      </c>
      <c r="N128" s="6"/>
      <c r="O128" s="5"/>
    </row>
    <row r="129" spans="1:15" x14ac:dyDescent="0.55000000000000004">
      <c r="A129" s="6" t="s">
        <v>36</v>
      </c>
      <c r="B129" s="6">
        <v>8.17</v>
      </c>
      <c r="C129" s="5">
        <f t="shared" si="10"/>
        <v>2.6899999999999995</v>
      </c>
      <c r="D129" s="5">
        <f t="shared" si="11"/>
        <v>13.65</v>
      </c>
      <c r="E129" s="5">
        <v>8.17</v>
      </c>
      <c r="F129">
        <v>3</v>
      </c>
      <c r="G129" s="8">
        <v>9</v>
      </c>
      <c r="H129" s="8">
        <v>16</v>
      </c>
      <c r="I129" t="s">
        <v>89</v>
      </c>
      <c r="J129" t="s">
        <v>76</v>
      </c>
      <c r="K129" t="s">
        <v>77</v>
      </c>
      <c r="L129">
        <v>5.48</v>
      </c>
      <c r="N129" s="6"/>
      <c r="O129" s="5"/>
    </row>
    <row r="130" spans="1:15" x14ac:dyDescent="0.55000000000000004">
      <c r="A130" s="6" t="s">
        <v>34</v>
      </c>
      <c r="B130" s="6">
        <v>8.92</v>
      </c>
      <c r="C130" s="5">
        <f t="shared" si="10"/>
        <v>3.4399999999999995</v>
      </c>
      <c r="D130" s="5">
        <f t="shared" si="11"/>
        <v>14.4</v>
      </c>
      <c r="E130" s="5">
        <v>3.44</v>
      </c>
      <c r="F130">
        <v>4</v>
      </c>
      <c r="G130" s="8">
        <v>2</v>
      </c>
      <c r="H130" s="8">
        <v>1</v>
      </c>
      <c r="I130" t="s">
        <v>89</v>
      </c>
      <c r="J130" t="s">
        <v>76</v>
      </c>
      <c r="K130" t="s">
        <v>77</v>
      </c>
      <c r="L130">
        <v>5.48</v>
      </c>
      <c r="N130" s="6"/>
      <c r="O130" s="5"/>
    </row>
    <row r="131" spans="1:15" x14ac:dyDescent="0.55000000000000004">
      <c r="A131" s="6" t="s">
        <v>38</v>
      </c>
      <c r="B131" s="6">
        <v>8.93</v>
      </c>
      <c r="C131" s="5">
        <f t="shared" si="10"/>
        <v>3.4499999999999993</v>
      </c>
      <c r="D131" s="5">
        <f t="shared" si="11"/>
        <v>14.41</v>
      </c>
      <c r="E131" s="5">
        <v>3.45</v>
      </c>
      <c r="F131">
        <v>5</v>
      </c>
      <c r="G131" s="8">
        <v>3</v>
      </c>
      <c r="H131" s="8">
        <v>18</v>
      </c>
      <c r="I131" t="s">
        <v>89</v>
      </c>
      <c r="J131" t="s">
        <v>76</v>
      </c>
      <c r="K131" t="s">
        <v>77</v>
      </c>
      <c r="L131">
        <v>5.48</v>
      </c>
      <c r="N131" s="6"/>
      <c r="O131" s="5"/>
    </row>
    <row r="132" spans="1:15" x14ac:dyDescent="0.55000000000000004">
      <c r="A132" s="6" t="s">
        <v>37</v>
      </c>
      <c r="B132" s="6">
        <v>8.9700000000000006</v>
      </c>
      <c r="C132" s="5">
        <f t="shared" si="10"/>
        <v>3.49</v>
      </c>
      <c r="D132" s="5">
        <f t="shared" si="11"/>
        <v>14.450000000000001</v>
      </c>
      <c r="E132" s="5">
        <v>8.9700000000000006</v>
      </c>
      <c r="F132">
        <v>6</v>
      </c>
      <c r="G132" s="8">
        <v>11</v>
      </c>
      <c r="H132" s="8">
        <v>4</v>
      </c>
      <c r="I132" t="s">
        <v>89</v>
      </c>
      <c r="J132" t="s">
        <v>76</v>
      </c>
      <c r="K132" t="s">
        <v>77</v>
      </c>
      <c r="L132">
        <v>5.48</v>
      </c>
      <c r="N132" s="6"/>
      <c r="O132" s="5"/>
    </row>
    <row r="133" spans="1:15" x14ac:dyDescent="0.55000000000000004">
      <c r="A133" s="6" t="s">
        <v>33</v>
      </c>
      <c r="B133" s="6">
        <v>9.8000000000000007</v>
      </c>
      <c r="C133" s="5">
        <f t="shared" si="10"/>
        <v>4.32</v>
      </c>
      <c r="D133" s="5">
        <f t="shared" si="11"/>
        <v>15.280000000000001</v>
      </c>
      <c r="E133" s="5">
        <v>4.32</v>
      </c>
      <c r="F133">
        <v>7</v>
      </c>
      <c r="G133" s="8">
        <v>4</v>
      </c>
      <c r="H133" s="8">
        <v>9</v>
      </c>
      <c r="I133" t="s">
        <v>89</v>
      </c>
      <c r="J133" t="s">
        <v>76</v>
      </c>
      <c r="K133" t="s">
        <v>77</v>
      </c>
      <c r="L133">
        <v>5.48</v>
      </c>
      <c r="N133" s="6"/>
      <c r="O133" s="5"/>
    </row>
    <row r="134" spans="1:15" x14ac:dyDescent="0.55000000000000004">
      <c r="A134" s="6" t="s">
        <v>25</v>
      </c>
      <c r="B134" s="6">
        <v>10.1</v>
      </c>
      <c r="C134" s="5">
        <f t="shared" si="10"/>
        <v>4.6199999999999992</v>
      </c>
      <c r="D134" s="5">
        <f t="shared" si="11"/>
        <v>15.58</v>
      </c>
      <c r="E134" s="5">
        <v>10.1</v>
      </c>
      <c r="F134">
        <v>8</v>
      </c>
      <c r="G134" s="8">
        <v>12</v>
      </c>
      <c r="H134" s="8">
        <v>11</v>
      </c>
      <c r="I134" t="s">
        <v>89</v>
      </c>
      <c r="J134" t="s">
        <v>76</v>
      </c>
      <c r="K134" t="s">
        <v>77</v>
      </c>
      <c r="L134">
        <v>5.48</v>
      </c>
      <c r="N134" s="6"/>
      <c r="O134" s="5"/>
    </row>
    <row r="135" spans="1:15" x14ac:dyDescent="0.55000000000000004">
      <c r="A135" s="6" t="s">
        <v>35</v>
      </c>
      <c r="B135" s="6">
        <v>10.33</v>
      </c>
      <c r="C135" s="5">
        <f t="shared" si="10"/>
        <v>4.8499999999999996</v>
      </c>
      <c r="D135" s="5">
        <f t="shared" si="11"/>
        <v>15.81</v>
      </c>
      <c r="E135" s="5">
        <v>4.8499999999999996</v>
      </c>
      <c r="F135">
        <v>9</v>
      </c>
      <c r="G135" s="8">
        <v>5</v>
      </c>
      <c r="H135" s="8">
        <v>2</v>
      </c>
      <c r="I135" t="s">
        <v>89</v>
      </c>
      <c r="J135" t="s">
        <v>76</v>
      </c>
      <c r="K135" t="s">
        <v>77</v>
      </c>
      <c r="L135">
        <v>5.48</v>
      </c>
      <c r="N135" s="6"/>
      <c r="O135" s="5"/>
    </row>
    <row r="136" spans="1:15" x14ac:dyDescent="0.55000000000000004">
      <c r="A136" s="6" t="s">
        <v>40</v>
      </c>
      <c r="B136" s="6">
        <v>10.34</v>
      </c>
      <c r="C136" s="5">
        <f t="shared" si="10"/>
        <v>4.8599999999999994</v>
      </c>
      <c r="D136" s="5">
        <f t="shared" si="11"/>
        <v>15.82</v>
      </c>
      <c r="E136" s="5">
        <v>10.34</v>
      </c>
      <c r="F136">
        <v>10</v>
      </c>
      <c r="G136" s="8">
        <v>13</v>
      </c>
      <c r="H136" s="8">
        <v>13</v>
      </c>
      <c r="I136" t="s">
        <v>89</v>
      </c>
      <c r="J136" t="s">
        <v>76</v>
      </c>
      <c r="K136" t="s">
        <v>77</v>
      </c>
      <c r="L136">
        <v>5.48</v>
      </c>
      <c r="N136" s="6"/>
      <c r="O136" s="5"/>
    </row>
    <row r="137" spans="1:15" x14ac:dyDescent="0.55000000000000004">
      <c r="A137" s="6" t="s">
        <v>28</v>
      </c>
      <c r="B137" s="6">
        <v>10.58</v>
      </c>
      <c r="C137" s="5">
        <f t="shared" si="10"/>
        <v>5.0999999999999996</v>
      </c>
      <c r="D137" s="5">
        <f t="shared" si="11"/>
        <v>16.060000000000002</v>
      </c>
      <c r="E137" s="5">
        <v>10.58</v>
      </c>
      <c r="F137">
        <v>11</v>
      </c>
      <c r="G137" s="8">
        <v>14</v>
      </c>
      <c r="H137" s="8">
        <v>22</v>
      </c>
      <c r="I137" t="s">
        <v>89</v>
      </c>
      <c r="J137" t="s">
        <v>76</v>
      </c>
      <c r="K137" t="s">
        <v>77</v>
      </c>
      <c r="L137">
        <v>5.48</v>
      </c>
      <c r="N137" s="6"/>
      <c r="O137" s="5"/>
    </row>
    <row r="138" spans="1:15" x14ac:dyDescent="0.55000000000000004">
      <c r="A138" s="6" t="s">
        <v>45</v>
      </c>
      <c r="B138" s="6">
        <v>11.18</v>
      </c>
      <c r="C138" s="5">
        <f t="shared" si="10"/>
        <v>5.6999999999999993</v>
      </c>
      <c r="D138" s="5">
        <f t="shared" si="11"/>
        <v>16.66</v>
      </c>
      <c r="E138" s="5">
        <v>11.18</v>
      </c>
      <c r="F138">
        <v>12</v>
      </c>
      <c r="G138" s="8">
        <v>15</v>
      </c>
      <c r="H138" s="8">
        <v>25</v>
      </c>
      <c r="I138" t="s">
        <v>89</v>
      </c>
      <c r="J138" t="s">
        <v>76</v>
      </c>
      <c r="K138" t="s">
        <v>77</v>
      </c>
      <c r="L138">
        <v>5.48</v>
      </c>
      <c r="N138" s="6"/>
      <c r="O138" s="5"/>
    </row>
    <row r="139" spans="1:15" x14ac:dyDescent="0.55000000000000004">
      <c r="A139" s="6" t="s">
        <v>41</v>
      </c>
      <c r="B139" s="6">
        <v>11.79</v>
      </c>
      <c r="C139" s="5">
        <f t="shared" si="10"/>
        <v>6.3099999999999987</v>
      </c>
      <c r="D139" s="5">
        <f t="shared" si="11"/>
        <v>17.27</v>
      </c>
      <c r="E139" s="5">
        <v>6.31</v>
      </c>
      <c r="F139">
        <v>13</v>
      </c>
      <c r="G139" s="8">
        <v>6</v>
      </c>
      <c r="H139" s="8">
        <v>3</v>
      </c>
      <c r="I139" t="s">
        <v>89</v>
      </c>
      <c r="J139" t="s">
        <v>76</v>
      </c>
      <c r="K139" t="s">
        <v>77</v>
      </c>
      <c r="L139">
        <v>5.48</v>
      </c>
      <c r="N139" s="6"/>
      <c r="O139" s="5"/>
    </row>
    <row r="140" spans="1:15" x14ac:dyDescent="0.55000000000000004">
      <c r="A140" s="6" t="s">
        <v>44</v>
      </c>
      <c r="B140" s="6">
        <v>12.06</v>
      </c>
      <c r="C140" s="5">
        <f t="shared" si="10"/>
        <v>6.58</v>
      </c>
      <c r="D140" s="5">
        <f t="shared" si="11"/>
        <v>17.54</v>
      </c>
      <c r="E140" s="5">
        <v>6.58</v>
      </c>
      <c r="F140">
        <v>14</v>
      </c>
      <c r="G140" s="8">
        <v>7</v>
      </c>
      <c r="H140" s="8">
        <v>23</v>
      </c>
      <c r="I140" t="s">
        <v>89</v>
      </c>
      <c r="J140" t="s">
        <v>76</v>
      </c>
      <c r="K140" t="s">
        <v>77</v>
      </c>
      <c r="L140">
        <v>5.48</v>
      </c>
      <c r="N140" s="6"/>
      <c r="O140" s="5"/>
    </row>
    <row r="141" spans="1:15" x14ac:dyDescent="0.55000000000000004">
      <c r="A141" s="6" t="s">
        <v>48</v>
      </c>
      <c r="B141" s="6">
        <v>12.35</v>
      </c>
      <c r="C141" s="5">
        <f t="shared" si="10"/>
        <v>6.8699999999999992</v>
      </c>
      <c r="D141" s="5">
        <f t="shared" si="11"/>
        <v>17.829999999999998</v>
      </c>
      <c r="E141" s="5">
        <v>12.35</v>
      </c>
      <c r="F141">
        <v>15</v>
      </c>
      <c r="G141" s="8">
        <v>16</v>
      </c>
      <c r="H141" s="8">
        <v>12</v>
      </c>
      <c r="I141" t="s">
        <v>89</v>
      </c>
      <c r="J141" t="s">
        <v>76</v>
      </c>
      <c r="K141" t="s">
        <v>77</v>
      </c>
      <c r="L141">
        <v>5.48</v>
      </c>
      <c r="N141" s="6"/>
      <c r="O141" s="5"/>
    </row>
    <row r="142" spans="1:15" x14ac:dyDescent="0.55000000000000004">
      <c r="A142" s="6" t="s">
        <v>31</v>
      </c>
      <c r="B142" s="6">
        <v>13.76</v>
      </c>
      <c r="C142" s="5">
        <f t="shared" si="10"/>
        <v>8.2799999999999994</v>
      </c>
      <c r="D142" s="5">
        <f t="shared" si="11"/>
        <v>19.240000000000002</v>
      </c>
      <c r="E142" s="5">
        <v>13.76</v>
      </c>
      <c r="F142">
        <v>16</v>
      </c>
      <c r="G142" s="8">
        <v>17</v>
      </c>
      <c r="H142" s="8">
        <v>21</v>
      </c>
      <c r="I142" t="s">
        <v>89</v>
      </c>
      <c r="J142" t="s">
        <v>76</v>
      </c>
      <c r="K142" t="s">
        <v>77</v>
      </c>
      <c r="L142">
        <v>5.48</v>
      </c>
      <c r="N142" s="6"/>
      <c r="O142" s="5"/>
    </row>
    <row r="143" spans="1:15" x14ac:dyDescent="0.55000000000000004">
      <c r="A143" s="6" t="s">
        <v>42</v>
      </c>
      <c r="B143" s="6">
        <v>13.83</v>
      </c>
      <c r="C143" s="5">
        <f t="shared" si="10"/>
        <v>8.35</v>
      </c>
      <c r="D143" s="5">
        <f t="shared" si="11"/>
        <v>19.310000000000002</v>
      </c>
      <c r="E143" s="5">
        <v>19.309999999999999</v>
      </c>
      <c r="F143">
        <v>17</v>
      </c>
      <c r="G143" s="8">
        <v>24</v>
      </c>
      <c r="H143" s="8">
        <v>24</v>
      </c>
      <c r="I143" t="s">
        <v>89</v>
      </c>
      <c r="J143" t="s">
        <v>76</v>
      </c>
      <c r="K143" t="s">
        <v>77</v>
      </c>
      <c r="L143">
        <v>5.48</v>
      </c>
      <c r="N143" s="6"/>
      <c r="O143" s="5"/>
    </row>
    <row r="144" spans="1:15" x14ac:dyDescent="0.55000000000000004">
      <c r="A144" s="6" t="s">
        <v>49</v>
      </c>
      <c r="B144" s="6">
        <v>13.95</v>
      </c>
      <c r="C144" s="5">
        <f t="shared" si="10"/>
        <v>8.4699999999999989</v>
      </c>
      <c r="D144" s="5">
        <f t="shared" si="11"/>
        <v>19.43</v>
      </c>
      <c r="E144" s="5">
        <v>13.95</v>
      </c>
      <c r="F144">
        <v>18</v>
      </c>
      <c r="G144" s="8">
        <v>18</v>
      </c>
      <c r="H144" s="8">
        <v>15</v>
      </c>
      <c r="I144" t="s">
        <v>89</v>
      </c>
      <c r="J144" t="s">
        <v>76</v>
      </c>
      <c r="K144" t="s">
        <v>77</v>
      </c>
      <c r="L144">
        <v>5.48</v>
      </c>
      <c r="N144" s="6"/>
      <c r="O144" s="5"/>
    </row>
    <row r="145" spans="1:16" x14ac:dyDescent="0.55000000000000004">
      <c r="A145" s="6" t="s">
        <v>29</v>
      </c>
      <c r="B145" s="6">
        <v>14.34</v>
      </c>
      <c r="C145" s="5">
        <f t="shared" si="10"/>
        <v>8.86</v>
      </c>
      <c r="D145" s="5">
        <f t="shared" si="11"/>
        <v>19.82</v>
      </c>
      <c r="E145" s="5">
        <v>14.34</v>
      </c>
      <c r="F145">
        <v>19</v>
      </c>
      <c r="G145" s="8">
        <v>19</v>
      </c>
      <c r="H145" s="8">
        <v>14</v>
      </c>
      <c r="I145" t="s">
        <v>89</v>
      </c>
      <c r="J145" t="s">
        <v>76</v>
      </c>
      <c r="K145" t="s">
        <v>77</v>
      </c>
      <c r="L145">
        <v>5.48</v>
      </c>
      <c r="N145" s="6"/>
      <c r="O145" s="5"/>
    </row>
    <row r="146" spans="1:16" x14ac:dyDescent="0.55000000000000004">
      <c r="A146" s="6" t="s">
        <v>30</v>
      </c>
      <c r="B146" s="6">
        <v>14.42</v>
      </c>
      <c r="C146" s="5">
        <f t="shared" si="10"/>
        <v>8.94</v>
      </c>
      <c r="D146" s="5">
        <f t="shared" si="11"/>
        <v>19.899999999999999</v>
      </c>
      <c r="E146" s="5">
        <v>8.94</v>
      </c>
      <c r="F146">
        <v>20</v>
      </c>
      <c r="G146" s="8">
        <v>10</v>
      </c>
      <c r="H146" s="8">
        <v>7</v>
      </c>
      <c r="I146" t="s">
        <v>89</v>
      </c>
      <c r="J146" t="s">
        <v>76</v>
      </c>
      <c r="K146" t="s">
        <v>77</v>
      </c>
      <c r="L146">
        <v>5.48</v>
      </c>
      <c r="N146" s="6"/>
      <c r="O146" s="5"/>
    </row>
    <row r="147" spans="1:16" x14ac:dyDescent="0.55000000000000004">
      <c r="A147" s="6" t="s">
        <v>47</v>
      </c>
      <c r="B147" s="6">
        <v>14.81</v>
      </c>
      <c r="C147" s="5">
        <f t="shared" si="10"/>
        <v>9.33</v>
      </c>
      <c r="D147" s="5">
        <f t="shared" si="11"/>
        <v>20.29</v>
      </c>
      <c r="E147" s="5">
        <v>14.81</v>
      </c>
      <c r="F147">
        <v>21</v>
      </c>
      <c r="G147" s="8">
        <v>20</v>
      </c>
      <c r="H147" s="8">
        <v>10</v>
      </c>
      <c r="I147" t="s">
        <v>89</v>
      </c>
      <c r="J147" t="s">
        <v>76</v>
      </c>
      <c r="K147" t="s">
        <v>77</v>
      </c>
      <c r="L147">
        <v>5.48</v>
      </c>
      <c r="N147" s="6"/>
      <c r="O147" s="5"/>
    </row>
    <row r="148" spans="1:16" x14ac:dyDescent="0.55000000000000004">
      <c r="A148" s="6" t="s">
        <v>26</v>
      </c>
      <c r="B148" s="6">
        <v>15.89</v>
      </c>
      <c r="C148" s="5">
        <f t="shared" si="10"/>
        <v>10.41</v>
      </c>
      <c r="D148" s="5">
        <f t="shared" si="11"/>
        <v>21.37</v>
      </c>
      <c r="E148" s="5">
        <v>15.89</v>
      </c>
      <c r="F148">
        <v>22</v>
      </c>
      <c r="G148" s="8">
        <v>21</v>
      </c>
      <c r="H148" s="8">
        <v>19</v>
      </c>
      <c r="I148" t="s">
        <v>89</v>
      </c>
      <c r="J148" t="s">
        <v>76</v>
      </c>
      <c r="K148" t="s">
        <v>77</v>
      </c>
      <c r="L148">
        <v>5.48</v>
      </c>
      <c r="N148" s="6"/>
      <c r="O148" s="5"/>
    </row>
    <row r="149" spans="1:16" x14ac:dyDescent="0.55000000000000004">
      <c r="A149" s="6" t="s">
        <v>32</v>
      </c>
      <c r="B149" s="6">
        <v>16.03</v>
      </c>
      <c r="C149" s="5">
        <f t="shared" si="10"/>
        <v>10.55</v>
      </c>
      <c r="D149" s="5">
        <f t="shared" si="11"/>
        <v>21.51</v>
      </c>
      <c r="E149" s="5">
        <v>16.03</v>
      </c>
      <c r="F149">
        <v>23</v>
      </c>
      <c r="G149" s="8">
        <v>22</v>
      </c>
      <c r="H149" s="8">
        <v>8</v>
      </c>
      <c r="I149" t="s">
        <v>89</v>
      </c>
      <c r="J149" t="s">
        <v>76</v>
      </c>
      <c r="K149" t="s">
        <v>77</v>
      </c>
      <c r="L149">
        <v>5.48</v>
      </c>
      <c r="N149" s="6"/>
      <c r="O149" s="5"/>
    </row>
    <row r="150" spans="1:16" x14ac:dyDescent="0.55000000000000004">
      <c r="A150" s="6" t="s">
        <v>46</v>
      </c>
      <c r="B150" s="6">
        <v>16.23</v>
      </c>
      <c r="C150" s="5">
        <f t="shared" si="10"/>
        <v>10.75</v>
      </c>
      <c r="D150" s="5">
        <f t="shared" si="11"/>
        <v>21.71</v>
      </c>
      <c r="E150" s="5">
        <v>16.23</v>
      </c>
      <c r="F150">
        <v>24</v>
      </c>
      <c r="G150" s="8">
        <v>23</v>
      </c>
      <c r="H150" s="8">
        <v>20</v>
      </c>
      <c r="I150" t="s">
        <v>89</v>
      </c>
      <c r="J150" t="s">
        <v>76</v>
      </c>
      <c r="K150" t="s">
        <v>77</v>
      </c>
      <c r="L150">
        <v>5.48</v>
      </c>
      <c r="N150" s="6"/>
      <c r="O150" s="5"/>
    </row>
    <row r="151" spans="1:16" x14ac:dyDescent="0.55000000000000004">
      <c r="A151" s="6" t="s">
        <v>43</v>
      </c>
      <c r="B151" s="6">
        <v>17.36</v>
      </c>
      <c r="C151" s="5">
        <f t="shared" si="10"/>
        <v>11.879999999999999</v>
      </c>
      <c r="D151" s="5">
        <f t="shared" si="11"/>
        <v>22.84</v>
      </c>
      <c r="E151" s="5">
        <v>22.84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77</v>
      </c>
      <c r="L151">
        <v>5.48</v>
      </c>
      <c r="N151" s="6"/>
      <c r="O151" s="5"/>
    </row>
    <row r="152" spans="1:16" x14ac:dyDescent="0.55000000000000004">
      <c r="A152" s="6" t="s">
        <v>36</v>
      </c>
      <c r="B152" s="6">
        <v>10.19</v>
      </c>
      <c r="C152" s="5">
        <f>B152-L152</f>
        <v>4.7399999999999993</v>
      </c>
      <c r="D152" s="5">
        <f>B152+L152</f>
        <v>15.64</v>
      </c>
      <c r="E152" s="5">
        <v>10.19</v>
      </c>
      <c r="F152">
        <v>1</v>
      </c>
      <c r="G152" s="8">
        <v>4</v>
      </c>
      <c r="H152" s="8">
        <v>3</v>
      </c>
      <c r="I152" t="s">
        <v>90</v>
      </c>
      <c r="J152" t="s">
        <v>85</v>
      </c>
      <c r="K152" t="s">
        <v>77</v>
      </c>
      <c r="L152">
        <v>5.45</v>
      </c>
      <c r="N152" s="6"/>
      <c r="O152" s="7"/>
      <c r="P152" s="5"/>
    </row>
    <row r="153" spans="1:16" x14ac:dyDescent="0.55000000000000004">
      <c r="A153" s="6" t="s">
        <v>27</v>
      </c>
      <c r="B153" s="6">
        <v>10.6</v>
      </c>
      <c r="C153" s="5">
        <f t="shared" ref="C153:C184" si="12">B153-L153</f>
        <v>5.1499999999999995</v>
      </c>
      <c r="D153" s="5">
        <f t="shared" ref="D153:D184" si="13">B153+L153</f>
        <v>16.05</v>
      </c>
      <c r="E153" s="5">
        <v>10.6</v>
      </c>
      <c r="F153">
        <v>2</v>
      </c>
      <c r="G153" s="8">
        <v>7</v>
      </c>
      <c r="H153" s="8">
        <v>15</v>
      </c>
      <c r="I153" t="s">
        <v>90</v>
      </c>
      <c r="J153" t="s">
        <v>85</v>
      </c>
      <c r="K153" t="s">
        <v>77</v>
      </c>
      <c r="L153">
        <v>5.45</v>
      </c>
      <c r="O153" s="7"/>
      <c r="P153" s="5"/>
    </row>
    <row r="154" spans="1:16" x14ac:dyDescent="0.55000000000000004">
      <c r="A154" s="6" t="s">
        <v>39</v>
      </c>
      <c r="B154" s="6">
        <v>10.78</v>
      </c>
      <c r="C154" s="5">
        <f t="shared" si="12"/>
        <v>5.3299999999999992</v>
      </c>
      <c r="D154" s="5">
        <f t="shared" si="13"/>
        <v>16.23</v>
      </c>
      <c r="E154" s="5">
        <v>10.78</v>
      </c>
      <c r="F154">
        <v>3</v>
      </c>
      <c r="G154" s="8">
        <v>8</v>
      </c>
      <c r="H154" s="8">
        <v>7</v>
      </c>
      <c r="I154" t="s">
        <v>90</v>
      </c>
      <c r="J154" t="s">
        <v>85</v>
      </c>
      <c r="K154" t="s">
        <v>77</v>
      </c>
      <c r="L154">
        <v>5.45</v>
      </c>
      <c r="O154" s="7"/>
      <c r="P154" s="5"/>
    </row>
    <row r="155" spans="1:16" x14ac:dyDescent="0.55000000000000004">
      <c r="A155" s="6" t="s">
        <v>38</v>
      </c>
      <c r="B155" s="6">
        <v>11.13</v>
      </c>
      <c r="C155" s="5">
        <f t="shared" si="12"/>
        <v>5.6800000000000006</v>
      </c>
      <c r="D155" s="5">
        <f t="shared" si="13"/>
        <v>16.580000000000002</v>
      </c>
      <c r="E155" s="5">
        <v>5.68</v>
      </c>
      <c r="F155">
        <v>4</v>
      </c>
      <c r="G155" s="8">
        <v>1</v>
      </c>
      <c r="H155" s="8">
        <v>4</v>
      </c>
      <c r="I155" t="s">
        <v>90</v>
      </c>
      <c r="J155" t="s">
        <v>85</v>
      </c>
      <c r="K155" t="s">
        <v>77</v>
      </c>
      <c r="L155">
        <v>5.45</v>
      </c>
      <c r="N155" s="6"/>
      <c r="O155" s="7"/>
      <c r="P155" s="5"/>
    </row>
    <row r="156" spans="1:16" x14ac:dyDescent="0.55000000000000004">
      <c r="A156" s="6" t="s">
        <v>37</v>
      </c>
      <c r="B156" s="6">
        <v>11.79</v>
      </c>
      <c r="C156" s="5">
        <f t="shared" si="12"/>
        <v>6.339999999999999</v>
      </c>
      <c r="D156" s="5">
        <f t="shared" si="13"/>
        <v>17.239999999999998</v>
      </c>
      <c r="E156" s="5">
        <v>6.34</v>
      </c>
      <c r="F156">
        <v>5</v>
      </c>
      <c r="G156" s="8">
        <v>2</v>
      </c>
      <c r="H156" s="8">
        <v>28</v>
      </c>
      <c r="I156" t="s">
        <v>90</v>
      </c>
      <c r="J156" t="s">
        <v>85</v>
      </c>
      <c r="K156" t="s">
        <v>77</v>
      </c>
      <c r="L156">
        <v>5.45</v>
      </c>
      <c r="O156" s="7"/>
      <c r="P156" s="5"/>
    </row>
    <row r="157" spans="1:16" x14ac:dyDescent="0.55000000000000004">
      <c r="A157" s="6" t="s">
        <v>35</v>
      </c>
      <c r="B157" s="6">
        <v>12.54</v>
      </c>
      <c r="C157" s="5">
        <f t="shared" si="12"/>
        <v>7.089999999999999</v>
      </c>
      <c r="D157" s="5">
        <f t="shared" si="13"/>
        <v>17.989999999999998</v>
      </c>
      <c r="E157" s="5">
        <v>7.09</v>
      </c>
      <c r="F157">
        <v>6</v>
      </c>
      <c r="G157" s="8">
        <v>3</v>
      </c>
      <c r="H157" s="8">
        <v>2</v>
      </c>
      <c r="I157" t="s">
        <v>90</v>
      </c>
      <c r="J157" t="s">
        <v>85</v>
      </c>
      <c r="K157" t="s">
        <v>77</v>
      </c>
      <c r="L157">
        <v>5.45</v>
      </c>
      <c r="O157" s="7"/>
      <c r="P157" s="5"/>
    </row>
    <row r="158" spans="1:16" x14ac:dyDescent="0.55000000000000004">
      <c r="A158" s="6" t="s">
        <v>33</v>
      </c>
      <c r="B158" s="6">
        <v>12.83</v>
      </c>
      <c r="C158" s="5">
        <f t="shared" si="12"/>
        <v>7.38</v>
      </c>
      <c r="D158" s="5">
        <f t="shared" si="13"/>
        <v>18.28</v>
      </c>
      <c r="E158" s="5">
        <v>12.83</v>
      </c>
      <c r="F158">
        <v>7</v>
      </c>
      <c r="G158" s="8">
        <v>12</v>
      </c>
      <c r="H158" s="8">
        <v>16</v>
      </c>
      <c r="I158" t="s">
        <v>90</v>
      </c>
      <c r="J158" t="s">
        <v>85</v>
      </c>
      <c r="K158" t="s">
        <v>77</v>
      </c>
      <c r="L158">
        <v>5.45</v>
      </c>
      <c r="N158" s="6"/>
      <c r="O158" s="7"/>
      <c r="P158" s="5"/>
    </row>
    <row r="159" spans="1:16" x14ac:dyDescent="0.55000000000000004">
      <c r="A159" s="6" t="s">
        <v>45</v>
      </c>
      <c r="B159" s="6">
        <v>13.74</v>
      </c>
      <c r="C159" s="5">
        <f t="shared" si="12"/>
        <v>8.2899999999999991</v>
      </c>
      <c r="D159" s="5">
        <f t="shared" si="13"/>
        <v>19.190000000000001</v>
      </c>
      <c r="E159" s="5">
        <v>13.74</v>
      </c>
      <c r="F159">
        <v>8</v>
      </c>
      <c r="G159" s="8">
        <v>13</v>
      </c>
      <c r="H159" s="8">
        <v>30</v>
      </c>
      <c r="I159" t="s">
        <v>90</v>
      </c>
      <c r="J159" t="s">
        <v>85</v>
      </c>
      <c r="K159" t="s">
        <v>77</v>
      </c>
      <c r="L159">
        <v>5.45</v>
      </c>
      <c r="O159" s="7"/>
      <c r="P159" s="5"/>
    </row>
    <row r="160" spans="1:16" x14ac:dyDescent="0.55000000000000004">
      <c r="A160" s="6" t="s">
        <v>34</v>
      </c>
      <c r="B160" s="6">
        <v>14.48</v>
      </c>
      <c r="C160" s="5">
        <f t="shared" si="12"/>
        <v>9.0300000000000011</v>
      </c>
      <c r="D160" s="5">
        <f t="shared" si="13"/>
        <v>19.93</v>
      </c>
      <c r="E160" s="5">
        <v>19.93</v>
      </c>
      <c r="F160">
        <v>9</v>
      </c>
      <c r="G160" s="8">
        <v>23</v>
      </c>
      <c r="H160" s="8">
        <v>17</v>
      </c>
      <c r="I160" t="s">
        <v>90</v>
      </c>
      <c r="J160" t="s">
        <v>85</v>
      </c>
      <c r="K160" t="s">
        <v>77</v>
      </c>
      <c r="L160">
        <v>5.45</v>
      </c>
      <c r="O160" s="7"/>
      <c r="P160" s="5"/>
    </row>
    <row r="161" spans="1:16" x14ac:dyDescent="0.55000000000000004">
      <c r="A161" s="6" t="s">
        <v>44</v>
      </c>
      <c r="B161" s="6">
        <v>15.16</v>
      </c>
      <c r="C161" s="5">
        <f t="shared" si="12"/>
        <v>9.7100000000000009</v>
      </c>
      <c r="D161" s="5">
        <f t="shared" si="13"/>
        <v>20.61</v>
      </c>
      <c r="E161" s="5">
        <v>15.16</v>
      </c>
      <c r="F161">
        <v>10</v>
      </c>
      <c r="G161" s="8">
        <v>14</v>
      </c>
      <c r="H161" s="8">
        <v>1</v>
      </c>
      <c r="I161" t="s">
        <v>90</v>
      </c>
      <c r="J161" t="s">
        <v>85</v>
      </c>
      <c r="K161" t="s">
        <v>77</v>
      </c>
      <c r="L161">
        <v>5.45</v>
      </c>
      <c r="N161" s="6"/>
      <c r="O161" s="7"/>
      <c r="P161" s="5"/>
    </row>
    <row r="162" spans="1:16" x14ac:dyDescent="0.55000000000000004">
      <c r="A162" s="6" t="s">
        <v>40</v>
      </c>
      <c r="B162" s="6">
        <v>15.42</v>
      </c>
      <c r="C162" s="5">
        <f t="shared" si="12"/>
        <v>9.9699999999999989</v>
      </c>
      <c r="D162" s="5">
        <f t="shared" si="13"/>
        <v>20.87</v>
      </c>
      <c r="E162" s="5">
        <v>15.42</v>
      </c>
      <c r="F162">
        <v>11</v>
      </c>
      <c r="G162" s="8">
        <v>15</v>
      </c>
      <c r="H162" s="8">
        <v>29</v>
      </c>
      <c r="I162" t="s">
        <v>90</v>
      </c>
      <c r="J162" t="s">
        <v>85</v>
      </c>
      <c r="K162" t="s">
        <v>77</v>
      </c>
      <c r="L162">
        <v>5.45</v>
      </c>
      <c r="O162" s="7"/>
      <c r="P162" s="5"/>
    </row>
    <row r="163" spans="1:16" x14ac:dyDescent="0.55000000000000004">
      <c r="A163" s="6" t="s">
        <v>42</v>
      </c>
      <c r="B163" s="6">
        <v>15.69</v>
      </c>
      <c r="C163" s="5">
        <f t="shared" si="12"/>
        <v>10.239999999999998</v>
      </c>
      <c r="D163" s="5">
        <f t="shared" si="13"/>
        <v>21.14</v>
      </c>
      <c r="E163" s="5">
        <v>10.24</v>
      </c>
      <c r="F163">
        <v>12</v>
      </c>
      <c r="G163" s="8">
        <v>5</v>
      </c>
      <c r="H163" s="8">
        <v>27</v>
      </c>
      <c r="I163" t="s">
        <v>90</v>
      </c>
      <c r="J163" t="s">
        <v>85</v>
      </c>
      <c r="K163" t="s">
        <v>77</v>
      </c>
      <c r="L163">
        <v>5.45</v>
      </c>
      <c r="O163" s="7"/>
      <c r="P163" s="5"/>
    </row>
    <row r="164" spans="1:16" x14ac:dyDescent="0.55000000000000004">
      <c r="A164" s="6" t="s">
        <v>25</v>
      </c>
      <c r="B164" s="6">
        <v>15.78</v>
      </c>
      <c r="C164" s="5">
        <f t="shared" si="12"/>
        <v>10.329999999999998</v>
      </c>
      <c r="D164" s="5">
        <f t="shared" si="13"/>
        <v>21.23</v>
      </c>
      <c r="E164" s="5">
        <v>15.78</v>
      </c>
      <c r="F164">
        <v>13</v>
      </c>
      <c r="G164" s="8">
        <v>16</v>
      </c>
      <c r="H164" s="8">
        <v>5</v>
      </c>
      <c r="I164" t="s">
        <v>90</v>
      </c>
      <c r="J164" t="s">
        <v>85</v>
      </c>
      <c r="K164" t="s">
        <v>77</v>
      </c>
      <c r="L164">
        <v>5.45</v>
      </c>
      <c r="N164" s="6"/>
      <c r="O164" s="7"/>
      <c r="P164" s="5"/>
    </row>
    <row r="165" spans="1:16" x14ac:dyDescent="0.55000000000000004">
      <c r="A165" s="6" t="s">
        <v>29</v>
      </c>
      <c r="B165" s="6">
        <v>15.85</v>
      </c>
      <c r="C165" s="5">
        <f t="shared" si="12"/>
        <v>10.399999999999999</v>
      </c>
      <c r="D165" s="5">
        <f t="shared" si="13"/>
        <v>21.3</v>
      </c>
      <c r="E165" s="5">
        <v>10.4</v>
      </c>
      <c r="F165">
        <v>14</v>
      </c>
      <c r="G165" s="8">
        <v>6</v>
      </c>
      <c r="H165" s="8">
        <v>8</v>
      </c>
      <c r="I165" t="s">
        <v>90</v>
      </c>
      <c r="J165" t="s">
        <v>85</v>
      </c>
      <c r="K165" t="s">
        <v>77</v>
      </c>
      <c r="L165">
        <v>5.45</v>
      </c>
      <c r="O165" s="7"/>
      <c r="P165" s="5"/>
    </row>
    <row r="166" spans="1:16" x14ac:dyDescent="0.55000000000000004">
      <c r="A166" s="6" t="s">
        <v>91</v>
      </c>
      <c r="B166" s="6">
        <v>16.27</v>
      </c>
      <c r="C166" s="5">
        <f t="shared" si="12"/>
        <v>10.82</v>
      </c>
      <c r="D166" s="5">
        <f t="shared" si="13"/>
        <v>21.72</v>
      </c>
      <c r="E166" s="5">
        <v>10.82</v>
      </c>
      <c r="F166">
        <v>15</v>
      </c>
      <c r="G166" s="8">
        <v>9</v>
      </c>
      <c r="H166" s="8">
        <v>12</v>
      </c>
      <c r="I166" t="s">
        <v>90</v>
      </c>
      <c r="J166" t="s">
        <v>85</v>
      </c>
      <c r="K166" t="s">
        <v>77</v>
      </c>
      <c r="L166">
        <v>5.45</v>
      </c>
      <c r="O166" s="7"/>
      <c r="P166" s="5"/>
    </row>
    <row r="167" spans="1:16" x14ac:dyDescent="0.55000000000000004">
      <c r="A167" s="6" t="s">
        <v>92</v>
      </c>
      <c r="B167" s="6">
        <v>16.760000000000002</v>
      </c>
      <c r="C167" s="5">
        <f t="shared" si="12"/>
        <v>11.310000000000002</v>
      </c>
      <c r="D167" s="5">
        <f t="shared" si="13"/>
        <v>22.21</v>
      </c>
      <c r="E167" s="5">
        <v>16.760000000000002</v>
      </c>
      <c r="F167">
        <v>16</v>
      </c>
      <c r="G167" s="8">
        <v>18</v>
      </c>
      <c r="H167" s="8">
        <v>25</v>
      </c>
      <c r="I167" t="s">
        <v>90</v>
      </c>
      <c r="J167" t="s">
        <v>85</v>
      </c>
      <c r="K167" t="s">
        <v>77</v>
      </c>
      <c r="L167">
        <v>5.45</v>
      </c>
      <c r="N167" s="6"/>
      <c r="O167" s="7"/>
      <c r="P167" s="5"/>
    </row>
    <row r="168" spans="1:16" x14ac:dyDescent="0.55000000000000004">
      <c r="A168" s="6" t="s">
        <v>28</v>
      </c>
      <c r="B168" s="6">
        <v>17.23</v>
      </c>
      <c r="C168" s="5">
        <f t="shared" si="12"/>
        <v>11.780000000000001</v>
      </c>
      <c r="D168" s="5">
        <f t="shared" si="13"/>
        <v>22.68</v>
      </c>
      <c r="E168" s="5">
        <v>17.23</v>
      </c>
      <c r="F168">
        <v>17</v>
      </c>
      <c r="G168" s="8">
        <v>19</v>
      </c>
      <c r="H168" s="8">
        <v>13</v>
      </c>
      <c r="I168" t="s">
        <v>90</v>
      </c>
      <c r="J168" t="s">
        <v>85</v>
      </c>
      <c r="K168" t="s">
        <v>77</v>
      </c>
      <c r="L168">
        <v>5.45</v>
      </c>
      <c r="O168" s="7"/>
      <c r="P168" s="5"/>
    </row>
    <row r="169" spans="1:16" x14ac:dyDescent="0.55000000000000004">
      <c r="A169" s="6" t="s">
        <v>41</v>
      </c>
      <c r="B169" s="6">
        <v>17.670000000000002</v>
      </c>
      <c r="C169" s="5">
        <f t="shared" si="12"/>
        <v>12.220000000000002</v>
      </c>
      <c r="D169" s="5">
        <f t="shared" si="13"/>
        <v>23.12</v>
      </c>
      <c r="E169" s="5">
        <v>17.670000000000002</v>
      </c>
      <c r="F169">
        <v>18</v>
      </c>
      <c r="G169" s="8">
        <v>20</v>
      </c>
      <c r="H169" s="8">
        <v>20</v>
      </c>
      <c r="I169" t="s">
        <v>90</v>
      </c>
      <c r="J169" t="s">
        <v>85</v>
      </c>
      <c r="K169" t="s">
        <v>77</v>
      </c>
      <c r="L169">
        <v>5.45</v>
      </c>
      <c r="O169" s="7"/>
      <c r="P169" s="5"/>
    </row>
    <row r="170" spans="1:16" x14ac:dyDescent="0.55000000000000004">
      <c r="A170" s="6" t="s">
        <v>49</v>
      </c>
      <c r="B170" s="6">
        <v>17.7</v>
      </c>
      <c r="C170" s="5">
        <f t="shared" si="12"/>
        <v>12.25</v>
      </c>
      <c r="D170" s="5">
        <f t="shared" si="13"/>
        <v>23.15</v>
      </c>
      <c r="E170" s="5">
        <v>17.7</v>
      </c>
      <c r="F170">
        <v>19</v>
      </c>
      <c r="G170" s="8">
        <v>21</v>
      </c>
      <c r="H170" s="8">
        <v>6</v>
      </c>
      <c r="I170" t="s">
        <v>90</v>
      </c>
      <c r="J170" t="s">
        <v>85</v>
      </c>
      <c r="K170" t="s">
        <v>77</v>
      </c>
      <c r="L170">
        <v>5.45</v>
      </c>
      <c r="N170" s="6"/>
      <c r="O170" s="7"/>
      <c r="P170" s="5"/>
    </row>
    <row r="171" spans="1:16" x14ac:dyDescent="0.55000000000000004">
      <c r="A171" s="6" t="s">
        <v>93</v>
      </c>
      <c r="B171" s="6">
        <v>17.899999999999999</v>
      </c>
      <c r="C171" s="5">
        <f t="shared" si="12"/>
        <v>12.45</v>
      </c>
      <c r="D171" s="5">
        <f t="shared" si="13"/>
        <v>23.349999999999998</v>
      </c>
      <c r="E171" s="5">
        <v>12.45</v>
      </c>
      <c r="F171">
        <v>20</v>
      </c>
      <c r="G171" s="8">
        <v>10</v>
      </c>
      <c r="H171" s="8">
        <v>32</v>
      </c>
      <c r="I171" t="s">
        <v>90</v>
      </c>
      <c r="J171" t="s">
        <v>85</v>
      </c>
      <c r="K171" t="s">
        <v>77</v>
      </c>
      <c r="L171">
        <v>5.45</v>
      </c>
      <c r="O171" s="7"/>
      <c r="P171" s="5"/>
    </row>
    <row r="172" spans="1:16" x14ac:dyDescent="0.55000000000000004">
      <c r="A172" s="6" t="s">
        <v>94</v>
      </c>
      <c r="B172" s="6">
        <v>18.149999999999999</v>
      </c>
      <c r="C172" s="5">
        <f t="shared" si="12"/>
        <v>12.7</v>
      </c>
      <c r="D172" s="5">
        <f t="shared" si="13"/>
        <v>23.599999999999998</v>
      </c>
      <c r="E172" s="5">
        <v>12.7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77</v>
      </c>
      <c r="L172">
        <v>5.45</v>
      </c>
      <c r="O172" s="7"/>
      <c r="P172" s="5"/>
    </row>
    <row r="173" spans="1:16" x14ac:dyDescent="0.55000000000000004">
      <c r="A173" s="6" t="s">
        <v>48</v>
      </c>
      <c r="B173" s="6">
        <v>18.39</v>
      </c>
      <c r="C173" s="5">
        <f t="shared" si="12"/>
        <v>12.940000000000001</v>
      </c>
      <c r="D173" s="5">
        <f t="shared" si="13"/>
        <v>23.84</v>
      </c>
      <c r="E173" s="5">
        <v>23.84</v>
      </c>
      <c r="F173">
        <v>22</v>
      </c>
      <c r="G173" s="8">
        <v>25</v>
      </c>
      <c r="H173" s="8">
        <v>14</v>
      </c>
      <c r="I173" t="s">
        <v>90</v>
      </c>
      <c r="J173" t="s">
        <v>85</v>
      </c>
      <c r="K173" t="s">
        <v>77</v>
      </c>
      <c r="L173">
        <v>5.45</v>
      </c>
      <c r="N173" s="6"/>
      <c r="O173" s="7"/>
      <c r="P173" s="5"/>
    </row>
    <row r="174" spans="1:16" x14ac:dyDescent="0.55000000000000004">
      <c r="A174" s="6" t="s">
        <v>95</v>
      </c>
      <c r="B174" s="6">
        <v>19.399999999999999</v>
      </c>
      <c r="C174" s="5">
        <f t="shared" si="12"/>
        <v>13.95</v>
      </c>
      <c r="D174" s="5">
        <f t="shared" si="13"/>
        <v>24.849999999999998</v>
      </c>
      <c r="E174" s="5">
        <v>24.85</v>
      </c>
      <c r="F174">
        <v>23</v>
      </c>
      <c r="G174" s="8">
        <v>26</v>
      </c>
      <c r="H174" s="8">
        <v>24</v>
      </c>
      <c r="I174" t="s">
        <v>90</v>
      </c>
      <c r="J174" t="s">
        <v>85</v>
      </c>
      <c r="K174" t="s">
        <v>77</v>
      </c>
      <c r="L174">
        <v>5.45</v>
      </c>
      <c r="O174" s="7"/>
      <c r="P174" s="5"/>
    </row>
    <row r="175" spans="1:16" x14ac:dyDescent="0.55000000000000004">
      <c r="A175" s="6" t="s">
        <v>96</v>
      </c>
      <c r="B175" s="6">
        <v>19.57</v>
      </c>
      <c r="C175" s="5">
        <f t="shared" si="12"/>
        <v>14.120000000000001</v>
      </c>
      <c r="D175" s="5">
        <f t="shared" si="13"/>
        <v>25.02</v>
      </c>
      <c r="E175" s="5">
        <v>25.02</v>
      </c>
      <c r="F175">
        <v>24</v>
      </c>
      <c r="G175" s="8">
        <v>27</v>
      </c>
      <c r="H175" s="8">
        <v>31</v>
      </c>
      <c r="I175" t="s">
        <v>90</v>
      </c>
      <c r="J175" t="s">
        <v>85</v>
      </c>
      <c r="K175" t="s">
        <v>77</v>
      </c>
      <c r="L175">
        <v>5.45</v>
      </c>
      <c r="O175" s="7"/>
      <c r="P175" s="5"/>
    </row>
    <row r="176" spans="1:16" x14ac:dyDescent="0.55000000000000004">
      <c r="A176" s="6" t="s">
        <v>47</v>
      </c>
      <c r="B176" s="6">
        <v>19.739999999999998</v>
      </c>
      <c r="C176" s="5">
        <f t="shared" si="12"/>
        <v>14.29</v>
      </c>
      <c r="D176" s="5">
        <f t="shared" si="13"/>
        <v>25.189999999999998</v>
      </c>
      <c r="E176" s="5">
        <v>19.739999999999998</v>
      </c>
      <c r="F176">
        <v>25</v>
      </c>
      <c r="G176" s="8">
        <v>22</v>
      </c>
      <c r="H176" s="8">
        <v>11</v>
      </c>
      <c r="I176" t="s">
        <v>90</v>
      </c>
      <c r="J176" t="s">
        <v>85</v>
      </c>
      <c r="K176" t="s">
        <v>77</v>
      </c>
      <c r="L176">
        <v>5.45</v>
      </c>
      <c r="N176" s="6"/>
      <c r="O176" s="7"/>
      <c r="P176" s="5"/>
    </row>
    <row r="177" spans="1:16" x14ac:dyDescent="0.55000000000000004">
      <c r="A177" s="6" t="s">
        <v>97</v>
      </c>
      <c r="B177" s="6">
        <v>20.86</v>
      </c>
      <c r="C177" s="5">
        <f t="shared" si="12"/>
        <v>15.41</v>
      </c>
      <c r="D177" s="5">
        <f t="shared" si="13"/>
        <v>26.31</v>
      </c>
      <c r="E177" s="5">
        <v>26.31</v>
      </c>
      <c r="F177">
        <v>26</v>
      </c>
      <c r="G177" s="8">
        <v>28</v>
      </c>
      <c r="H177" s="8">
        <v>22</v>
      </c>
      <c r="I177" t="s">
        <v>90</v>
      </c>
      <c r="J177" t="s">
        <v>85</v>
      </c>
      <c r="K177" t="s">
        <v>77</v>
      </c>
      <c r="L177">
        <v>5.45</v>
      </c>
      <c r="O177" s="7"/>
      <c r="P177" s="5"/>
    </row>
    <row r="178" spans="1:16" x14ac:dyDescent="0.55000000000000004">
      <c r="A178" s="6" t="s">
        <v>26</v>
      </c>
      <c r="B178" s="6">
        <v>21.69</v>
      </c>
      <c r="C178" s="5">
        <f t="shared" si="12"/>
        <v>16.240000000000002</v>
      </c>
      <c r="D178" s="5">
        <f t="shared" si="13"/>
        <v>27.14</v>
      </c>
      <c r="E178" s="5">
        <v>27.14</v>
      </c>
      <c r="F178">
        <v>27</v>
      </c>
      <c r="G178" s="8">
        <v>29</v>
      </c>
      <c r="H178" s="8">
        <v>26</v>
      </c>
      <c r="I178" t="s">
        <v>90</v>
      </c>
      <c r="J178" t="s">
        <v>85</v>
      </c>
      <c r="K178" t="s">
        <v>77</v>
      </c>
      <c r="L178">
        <v>5.45</v>
      </c>
      <c r="O178" s="7"/>
      <c r="P178" s="5"/>
    </row>
    <row r="179" spans="1:16" x14ac:dyDescent="0.55000000000000004">
      <c r="A179" s="6" t="s">
        <v>32</v>
      </c>
      <c r="B179" s="6">
        <v>21.9</v>
      </c>
      <c r="C179" s="5">
        <f t="shared" si="12"/>
        <v>16.45</v>
      </c>
      <c r="D179" s="5">
        <f t="shared" si="13"/>
        <v>27.349999999999998</v>
      </c>
      <c r="E179" s="5">
        <v>27.35</v>
      </c>
      <c r="F179">
        <v>28</v>
      </c>
      <c r="G179" s="8">
        <v>30</v>
      </c>
      <c r="H179" s="8">
        <v>19</v>
      </c>
      <c r="I179" t="s">
        <v>90</v>
      </c>
      <c r="J179" t="s">
        <v>85</v>
      </c>
      <c r="K179" t="s">
        <v>77</v>
      </c>
      <c r="L179">
        <v>5.45</v>
      </c>
      <c r="N179" s="6"/>
      <c r="O179" s="7"/>
      <c r="P179" s="5"/>
    </row>
    <row r="180" spans="1:16" x14ac:dyDescent="0.55000000000000004">
      <c r="A180" s="6" t="s">
        <v>98</v>
      </c>
      <c r="B180" s="6">
        <v>21.96</v>
      </c>
      <c r="C180" s="5">
        <f t="shared" si="12"/>
        <v>16.510000000000002</v>
      </c>
      <c r="D180" s="5">
        <f t="shared" si="13"/>
        <v>27.41</v>
      </c>
      <c r="E180" s="5">
        <v>27.41</v>
      </c>
      <c r="F180">
        <v>29</v>
      </c>
      <c r="G180" s="8">
        <v>31</v>
      </c>
      <c r="H180" s="8">
        <v>33</v>
      </c>
      <c r="I180" t="s">
        <v>90</v>
      </c>
      <c r="J180" t="s">
        <v>85</v>
      </c>
      <c r="K180" t="s">
        <v>77</v>
      </c>
      <c r="L180">
        <v>5.45</v>
      </c>
      <c r="O180" s="7"/>
      <c r="P180" s="5"/>
    </row>
    <row r="181" spans="1:16" x14ac:dyDescent="0.55000000000000004">
      <c r="A181" s="6" t="s">
        <v>31</v>
      </c>
      <c r="B181" s="6">
        <v>22.02</v>
      </c>
      <c r="C181" s="5">
        <f t="shared" si="12"/>
        <v>16.57</v>
      </c>
      <c r="D181" s="5">
        <f t="shared" si="13"/>
        <v>27.47</v>
      </c>
      <c r="E181" s="5">
        <v>16.57</v>
      </c>
      <c r="F181">
        <v>30</v>
      </c>
      <c r="G181" s="8">
        <v>17</v>
      </c>
      <c r="H181" s="8">
        <v>9</v>
      </c>
      <c r="I181" t="s">
        <v>90</v>
      </c>
      <c r="J181" t="s">
        <v>85</v>
      </c>
      <c r="K181" t="s">
        <v>77</v>
      </c>
      <c r="L181">
        <v>5.45</v>
      </c>
      <c r="O181" s="7"/>
      <c r="P181" s="5"/>
    </row>
    <row r="182" spans="1:16" x14ac:dyDescent="0.55000000000000004">
      <c r="A182" s="6" t="s">
        <v>30</v>
      </c>
      <c r="B182" s="6">
        <v>22.27</v>
      </c>
      <c r="C182" s="5">
        <f t="shared" si="12"/>
        <v>16.82</v>
      </c>
      <c r="D182" s="5">
        <f t="shared" si="13"/>
        <v>27.72</v>
      </c>
      <c r="E182" s="5">
        <v>22.27</v>
      </c>
      <c r="F182">
        <v>31</v>
      </c>
      <c r="G182" s="8">
        <v>24</v>
      </c>
      <c r="H182" s="8">
        <v>21</v>
      </c>
      <c r="I182" t="s">
        <v>90</v>
      </c>
      <c r="J182" t="s">
        <v>85</v>
      </c>
      <c r="K182" t="s">
        <v>77</v>
      </c>
      <c r="L182">
        <v>5.45</v>
      </c>
      <c r="N182" s="6"/>
      <c r="O182" s="7"/>
      <c r="P182" s="5"/>
    </row>
    <row r="183" spans="1:16" x14ac:dyDescent="0.55000000000000004">
      <c r="A183" s="6" t="s">
        <v>46</v>
      </c>
      <c r="B183" s="6">
        <v>22.72</v>
      </c>
      <c r="C183" s="5">
        <f t="shared" si="12"/>
        <v>17.27</v>
      </c>
      <c r="D183" s="5">
        <f t="shared" si="13"/>
        <v>28.169999999999998</v>
      </c>
      <c r="E183" s="5">
        <v>28.17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77</v>
      </c>
      <c r="L183">
        <v>5.45</v>
      </c>
      <c r="O183" s="7"/>
      <c r="P183" s="5"/>
    </row>
    <row r="184" spans="1:16" x14ac:dyDescent="0.55000000000000004">
      <c r="A184" s="6" t="s">
        <v>43</v>
      </c>
      <c r="B184" s="6">
        <v>22.92</v>
      </c>
      <c r="C184" s="5">
        <f t="shared" si="12"/>
        <v>17.470000000000002</v>
      </c>
      <c r="D184" s="5">
        <f t="shared" si="13"/>
        <v>28.37</v>
      </c>
      <c r="E184" s="5">
        <v>28.37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77</v>
      </c>
      <c r="L184">
        <v>5.45</v>
      </c>
      <c r="N184" s="6"/>
      <c r="P184" s="5"/>
    </row>
    <row r="185" spans="1:16" x14ac:dyDescent="0.55000000000000004">
      <c r="A185" s="6" t="s">
        <v>39</v>
      </c>
      <c r="B185" s="6">
        <v>7.46</v>
      </c>
      <c r="C185" s="5">
        <f>B185-L185</f>
        <v>2.0300000000000002</v>
      </c>
      <c r="D185" s="5">
        <f>B185+L185</f>
        <v>12.89</v>
      </c>
      <c r="E185">
        <v>2.0299999999999998</v>
      </c>
      <c r="F185">
        <v>1</v>
      </c>
      <c r="G185" s="8">
        <v>1</v>
      </c>
      <c r="H185" s="8">
        <v>1</v>
      </c>
      <c r="I185" t="s">
        <v>107</v>
      </c>
      <c r="J185" t="s">
        <v>82</v>
      </c>
      <c r="K185" t="s">
        <v>77</v>
      </c>
      <c r="L185">
        <v>5.43</v>
      </c>
      <c r="N185" s="6"/>
      <c r="O185" s="5"/>
    </row>
    <row r="186" spans="1:16" x14ac:dyDescent="0.55000000000000004">
      <c r="A186" s="6" t="s">
        <v>27</v>
      </c>
      <c r="B186" s="6">
        <v>7.65</v>
      </c>
      <c r="C186" s="5">
        <f t="shared" ref="C186:C209" si="14">B186-L186</f>
        <v>2.2200000000000006</v>
      </c>
      <c r="D186" s="5">
        <f t="shared" ref="D186:D209" si="15">B186+L186</f>
        <v>13.08</v>
      </c>
      <c r="E186" s="5">
        <v>7.65</v>
      </c>
      <c r="F186">
        <v>2</v>
      </c>
      <c r="G186" s="8">
        <v>7</v>
      </c>
      <c r="H186" s="8">
        <v>24</v>
      </c>
      <c r="I186" t="s">
        <v>107</v>
      </c>
      <c r="J186" t="s">
        <v>82</v>
      </c>
      <c r="K186" t="s">
        <v>77</v>
      </c>
      <c r="L186">
        <v>5.43</v>
      </c>
      <c r="N186" s="6"/>
      <c r="O186" s="5"/>
    </row>
    <row r="187" spans="1:16" x14ac:dyDescent="0.55000000000000004">
      <c r="A187" s="6" t="s">
        <v>33</v>
      </c>
      <c r="B187" s="6">
        <v>7.91</v>
      </c>
      <c r="C187" s="5">
        <f t="shared" si="14"/>
        <v>2.4800000000000004</v>
      </c>
      <c r="D187" s="5">
        <f t="shared" si="15"/>
        <v>13.34</v>
      </c>
      <c r="E187" s="5">
        <v>2.48</v>
      </c>
      <c r="F187">
        <v>3</v>
      </c>
      <c r="G187" s="8">
        <v>2</v>
      </c>
      <c r="H187" s="8">
        <v>2</v>
      </c>
      <c r="I187" t="s">
        <v>107</v>
      </c>
      <c r="J187" t="s">
        <v>82</v>
      </c>
      <c r="K187" t="s">
        <v>77</v>
      </c>
      <c r="L187">
        <v>5.43</v>
      </c>
      <c r="N187" s="6"/>
      <c r="O187" s="5"/>
    </row>
    <row r="188" spans="1:16" x14ac:dyDescent="0.55000000000000004">
      <c r="A188" s="6" t="s">
        <v>34</v>
      </c>
      <c r="B188" s="6">
        <v>9.44</v>
      </c>
      <c r="C188" s="5">
        <f t="shared" si="14"/>
        <v>4.01</v>
      </c>
      <c r="D188" s="5">
        <f t="shared" si="15"/>
        <v>14.87</v>
      </c>
      <c r="E188" s="5">
        <v>9.44</v>
      </c>
      <c r="F188">
        <v>4</v>
      </c>
      <c r="G188" s="8">
        <v>8</v>
      </c>
      <c r="H188" s="8">
        <v>5</v>
      </c>
      <c r="I188" t="s">
        <v>107</v>
      </c>
      <c r="J188" t="s">
        <v>82</v>
      </c>
      <c r="K188" t="s">
        <v>77</v>
      </c>
      <c r="L188">
        <v>5.43</v>
      </c>
      <c r="N188" s="6"/>
      <c r="O188" s="5"/>
    </row>
    <row r="189" spans="1:16" x14ac:dyDescent="0.55000000000000004">
      <c r="A189" s="6" t="s">
        <v>38</v>
      </c>
      <c r="B189" s="6">
        <v>9.75</v>
      </c>
      <c r="C189" s="5">
        <f t="shared" si="14"/>
        <v>4.32</v>
      </c>
      <c r="D189" s="5">
        <f t="shared" si="15"/>
        <v>15.18</v>
      </c>
      <c r="E189" s="5">
        <v>4.32</v>
      </c>
      <c r="F189">
        <v>5</v>
      </c>
      <c r="G189" s="8">
        <v>3</v>
      </c>
      <c r="H189" s="8">
        <v>4</v>
      </c>
      <c r="I189" t="s">
        <v>107</v>
      </c>
      <c r="J189" t="s">
        <v>82</v>
      </c>
      <c r="K189" t="s">
        <v>77</v>
      </c>
      <c r="L189">
        <v>5.43</v>
      </c>
      <c r="N189" s="6"/>
      <c r="O189" s="5"/>
    </row>
    <row r="190" spans="1:16" x14ac:dyDescent="0.55000000000000004">
      <c r="A190" s="6" t="s">
        <v>36</v>
      </c>
      <c r="B190" s="6">
        <v>10.050000000000001</v>
      </c>
      <c r="C190" s="5">
        <f t="shared" si="14"/>
        <v>4.620000000000001</v>
      </c>
      <c r="D190" s="5">
        <f t="shared" si="15"/>
        <v>15.48</v>
      </c>
      <c r="E190" s="5">
        <v>4.62</v>
      </c>
      <c r="F190">
        <v>6</v>
      </c>
      <c r="G190" s="8">
        <v>4</v>
      </c>
      <c r="H190" s="8">
        <v>19</v>
      </c>
      <c r="I190" t="s">
        <v>107</v>
      </c>
      <c r="J190" t="s">
        <v>82</v>
      </c>
      <c r="K190" t="s">
        <v>77</v>
      </c>
      <c r="L190">
        <v>5.43</v>
      </c>
      <c r="N190" s="6"/>
      <c r="O190" s="5"/>
    </row>
    <row r="191" spans="1:16" x14ac:dyDescent="0.55000000000000004">
      <c r="A191" s="6" t="s">
        <v>37</v>
      </c>
      <c r="B191" s="6">
        <v>10.23</v>
      </c>
      <c r="C191" s="5">
        <f t="shared" si="14"/>
        <v>4.8000000000000007</v>
      </c>
      <c r="D191" s="5">
        <f t="shared" si="15"/>
        <v>15.66</v>
      </c>
      <c r="E191" s="5">
        <v>10.23</v>
      </c>
      <c r="F191">
        <v>7</v>
      </c>
      <c r="G191" s="8">
        <v>9</v>
      </c>
      <c r="H191" s="8">
        <v>10</v>
      </c>
      <c r="I191" t="s">
        <v>107</v>
      </c>
      <c r="J191" t="s">
        <v>82</v>
      </c>
      <c r="K191" t="s">
        <v>77</v>
      </c>
      <c r="L191">
        <v>5.43</v>
      </c>
      <c r="N191" s="6"/>
      <c r="O191" s="5"/>
    </row>
    <row r="192" spans="1:16" x14ac:dyDescent="0.55000000000000004">
      <c r="A192" s="6" t="s">
        <v>35</v>
      </c>
      <c r="B192" s="6">
        <v>10.62</v>
      </c>
      <c r="C192" s="5">
        <f t="shared" si="14"/>
        <v>5.1899999999999995</v>
      </c>
      <c r="D192" s="5">
        <f t="shared" si="15"/>
        <v>16.049999999999997</v>
      </c>
      <c r="E192" s="5">
        <v>5.19</v>
      </c>
      <c r="F192">
        <v>8</v>
      </c>
      <c r="G192" s="8">
        <v>5</v>
      </c>
      <c r="H192" s="8">
        <v>18</v>
      </c>
      <c r="I192" t="s">
        <v>107</v>
      </c>
      <c r="J192" t="s">
        <v>82</v>
      </c>
      <c r="K192" t="s">
        <v>77</v>
      </c>
      <c r="L192">
        <v>5.43</v>
      </c>
      <c r="N192" s="6"/>
      <c r="O192" s="5"/>
    </row>
    <row r="193" spans="1:15" x14ac:dyDescent="0.55000000000000004">
      <c r="A193" s="6" t="s">
        <v>40</v>
      </c>
      <c r="B193" s="6">
        <v>10.84</v>
      </c>
      <c r="C193" s="5">
        <f t="shared" si="14"/>
        <v>5.41</v>
      </c>
      <c r="D193" s="5">
        <f t="shared" si="15"/>
        <v>16.27</v>
      </c>
      <c r="E193" s="5">
        <v>10.84</v>
      </c>
      <c r="F193">
        <v>9</v>
      </c>
      <c r="G193" s="8">
        <v>10</v>
      </c>
      <c r="H193" s="8">
        <v>22</v>
      </c>
      <c r="I193" t="s">
        <v>107</v>
      </c>
      <c r="J193" t="s">
        <v>82</v>
      </c>
      <c r="K193" t="s">
        <v>77</v>
      </c>
      <c r="L193">
        <v>5.43</v>
      </c>
      <c r="N193" s="6"/>
      <c r="O193" s="5"/>
    </row>
    <row r="194" spans="1:15" x14ac:dyDescent="0.55000000000000004">
      <c r="A194" s="6" t="s">
        <v>28</v>
      </c>
      <c r="B194" s="6">
        <v>11.13</v>
      </c>
      <c r="C194" s="5">
        <f t="shared" si="14"/>
        <v>5.7000000000000011</v>
      </c>
      <c r="D194" s="5">
        <f t="shared" si="15"/>
        <v>16.560000000000002</v>
      </c>
      <c r="E194" s="5">
        <v>16.559999999999999</v>
      </c>
      <c r="F194">
        <v>10</v>
      </c>
      <c r="G194" s="8">
        <v>17</v>
      </c>
      <c r="H194" s="8">
        <v>8</v>
      </c>
      <c r="I194" t="s">
        <v>107</v>
      </c>
      <c r="J194" t="s">
        <v>82</v>
      </c>
      <c r="K194" t="s">
        <v>77</v>
      </c>
      <c r="L194">
        <v>5.43</v>
      </c>
      <c r="N194" s="6"/>
      <c r="O194" s="5"/>
    </row>
    <row r="195" spans="1:15" x14ac:dyDescent="0.55000000000000004">
      <c r="A195" s="6" t="s">
        <v>25</v>
      </c>
      <c r="B195" s="6">
        <v>11.34</v>
      </c>
      <c r="C195" s="5">
        <f t="shared" si="14"/>
        <v>5.91</v>
      </c>
      <c r="D195" s="5">
        <f t="shared" si="15"/>
        <v>16.77</v>
      </c>
      <c r="E195" s="5">
        <v>11.34</v>
      </c>
      <c r="F195">
        <v>11</v>
      </c>
      <c r="G195" s="8">
        <v>11</v>
      </c>
      <c r="H195" s="8">
        <v>11</v>
      </c>
      <c r="I195" t="s">
        <v>107</v>
      </c>
      <c r="J195" t="s">
        <v>82</v>
      </c>
      <c r="K195" t="s">
        <v>77</v>
      </c>
      <c r="L195">
        <v>5.43</v>
      </c>
      <c r="N195" s="6"/>
      <c r="O195" s="5"/>
    </row>
    <row r="196" spans="1:15" x14ac:dyDescent="0.55000000000000004">
      <c r="A196" s="6" t="s">
        <v>41</v>
      </c>
      <c r="B196" s="6">
        <v>12.32</v>
      </c>
      <c r="C196" s="5">
        <f t="shared" si="14"/>
        <v>6.8900000000000006</v>
      </c>
      <c r="D196" s="5">
        <f t="shared" si="15"/>
        <v>17.75</v>
      </c>
      <c r="E196" s="5">
        <v>17.75</v>
      </c>
      <c r="F196">
        <v>12</v>
      </c>
      <c r="G196" s="8">
        <v>18</v>
      </c>
      <c r="H196" s="8">
        <v>3</v>
      </c>
      <c r="I196" t="s">
        <v>107</v>
      </c>
      <c r="J196" t="s">
        <v>82</v>
      </c>
      <c r="K196" t="s">
        <v>77</v>
      </c>
      <c r="L196">
        <v>5.43</v>
      </c>
      <c r="N196" s="6"/>
      <c r="O196" s="5"/>
    </row>
    <row r="197" spans="1:15" x14ac:dyDescent="0.55000000000000004">
      <c r="A197" s="6" t="s">
        <v>48</v>
      </c>
      <c r="B197" s="6">
        <v>12.5</v>
      </c>
      <c r="C197" s="5">
        <f t="shared" si="14"/>
        <v>7.07</v>
      </c>
      <c r="D197" s="5">
        <f t="shared" si="15"/>
        <v>17.93</v>
      </c>
      <c r="E197" s="5">
        <v>12.5</v>
      </c>
      <c r="F197">
        <v>13</v>
      </c>
      <c r="G197" s="8">
        <v>12</v>
      </c>
      <c r="H197" s="8">
        <v>9</v>
      </c>
      <c r="I197" t="s">
        <v>107</v>
      </c>
      <c r="J197" t="s">
        <v>82</v>
      </c>
      <c r="K197" t="s">
        <v>77</v>
      </c>
      <c r="L197">
        <v>5.43</v>
      </c>
      <c r="N197" s="6"/>
      <c r="O197" s="5"/>
    </row>
    <row r="198" spans="1:15" x14ac:dyDescent="0.55000000000000004">
      <c r="A198" s="6" t="s">
        <v>44</v>
      </c>
      <c r="B198" s="6">
        <v>12.54</v>
      </c>
      <c r="C198" s="5">
        <f t="shared" si="14"/>
        <v>7.1099999999999994</v>
      </c>
      <c r="D198" s="5">
        <f t="shared" si="15"/>
        <v>17.97</v>
      </c>
      <c r="E198" s="5">
        <v>7.11</v>
      </c>
      <c r="F198">
        <v>14</v>
      </c>
      <c r="G198" s="8">
        <v>6</v>
      </c>
      <c r="H198" s="8">
        <v>6</v>
      </c>
      <c r="I198" t="s">
        <v>107</v>
      </c>
      <c r="J198" t="s">
        <v>82</v>
      </c>
      <c r="K198" t="s">
        <v>77</v>
      </c>
      <c r="L198">
        <v>5.43</v>
      </c>
      <c r="N198" s="6"/>
      <c r="O198" s="5"/>
    </row>
    <row r="199" spans="1:15" x14ac:dyDescent="0.55000000000000004">
      <c r="A199" s="6" t="s">
        <v>45</v>
      </c>
      <c r="B199" s="6">
        <v>12.69</v>
      </c>
      <c r="C199" s="5">
        <f t="shared" si="14"/>
        <v>7.26</v>
      </c>
      <c r="D199" s="5">
        <f t="shared" si="15"/>
        <v>18.119999999999997</v>
      </c>
      <c r="E199" s="5">
        <v>12.69</v>
      </c>
      <c r="F199">
        <v>15</v>
      </c>
      <c r="G199" s="8">
        <v>13</v>
      </c>
      <c r="H199" s="8">
        <v>17</v>
      </c>
      <c r="I199" t="s">
        <v>107</v>
      </c>
      <c r="J199" t="s">
        <v>82</v>
      </c>
      <c r="K199" t="s">
        <v>77</v>
      </c>
      <c r="L199">
        <v>5.43</v>
      </c>
      <c r="N199" s="6"/>
      <c r="O199" s="5"/>
    </row>
    <row r="200" spans="1:15" x14ac:dyDescent="0.55000000000000004">
      <c r="A200" s="6" t="s">
        <v>49</v>
      </c>
      <c r="B200" s="6">
        <v>13.79</v>
      </c>
      <c r="C200" s="5">
        <f t="shared" si="14"/>
        <v>8.36</v>
      </c>
      <c r="D200" s="5">
        <f t="shared" si="15"/>
        <v>19.22</v>
      </c>
      <c r="E200" s="5">
        <v>19.22</v>
      </c>
      <c r="F200">
        <v>16</v>
      </c>
      <c r="G200" s="8">
        <v>19</v>
      </c>
      <c r="H200" s="8">
        <v>12</v>
      </c>
      <c r="I200" t="s">
        <v>107</v>
      </c>
      <c r="J200" t="s">
        <v>82</v>
      </c>
      <c r="K200" t="s">
        <v>77</v>
      </c>
      <c r="L200">
        <v>5.43</v>
      </c>
      <c r="N200" s="6"/>
      <c r="O200" s="5"/>
    </row>
    <row r="201" spans="1:15" x14ac:dyDescent="0.55000000000000004">
      <c r="A201" s="6" t="s">
        <v>32</v>
      </c>
      <c r="B201" s="6">
        <v>14.58</v>
      </c>
      <c r="C201" s="5">
        <f t="shared" si="14"/>
        <v>9.15</v>
      </c>
      <c r="D201" s="5">
        <f t="shared" si="15"/>
        <v>20.009999999999998</v>
      </c>
      <c r="E201" s="5">
        <v>14.58</v>
      </c>
      <c r="F201">
        <v>17</v>
      </c>
      <c r="G201" s="8">
        <v>14</v>
      </c>
      <c r="H201" s="8">
        <v>13</v>
      </c>
      <c r="I201" t="s">
        <v>107</v>
      </c>
      <c r="J201" t="s">
        <v>82</v>
      </c>
      <c r="K201" t="s">
        <v>77</v>
      </c>
      <c r="L201">
        <v>5.43</v>
      </c>
      <c r="N201" s="6"/>
      <c r="O201" s="5"/>
    </row>
    <row r="202" spans="1:15" x14ac:dyDescent="0.55000000000000004">
      <c r="A202" s="6" t="s">
        <v>30</v>
      </c>
      <c r="B202" s="6">
        <v>15.27</v>
      </c>
      <c r="C202" s="5">
        <f t="shared" si="14"/>
        <v>9.84</v>
      </c>
      <c r="D202" s="5">
        <f t="shared" si="15"/>
        <v>20.7</v>
      </c>
      <c r="E202" s="5">
        <v>20.7</v>
      </c>
      <c r="F202">
        <v>18</v>
      </c>
      <c r="G202" s="8">
        <v>20</v>
      </c>
      <c r="H202" s="8">
        <v>7</v>
      </c>
      <c r="I202" t="s">
        <v>107</v>
      </c>
      <c r="J202" t="s">
        <v>82</v>
      </c>
      <c r="K202" t="s">
        <v>77</v>
      </c>
      <c r="L202">
        <v>5.43</v>
      </c>
      <c r="N202" s="6"/>
      <c r="O202" s="5"/>
    </row>
    <row r="203" spans="1:15" x14ac:dyDescent="0.55000000000000004">
      <c r="A203" s="6" t="s">
        <v>47</v>
      </c>
      <c r="B203" s="6">
        <v>15.41</v>
      </c>
      <c r="C203" s="5">
        <f t="shared" si="14"/>
        <v>9.98</v>
      </c>
      <c r="D203" s="5">
        <f t="shared" si="15"/>
        <v>20.84</v>
      </c>
      <c r="E203" s="5">
        <v>20.84</v>
      </c>
      <c r="F203">
        <v>19</v>
      </c>
      <c r="G203" s="8">
        <v>21</v>
      </c>
      <c r="H203" s="8">
        <v>15</v>
      </c>
      <c r="I203" t="s">
        <v>107</v>
      </c>
      <c r="J203" t="s">
        <v>82</v>
      </c>
      <c r="K203" t="s">
        <v>77</v>
      </c>
      <c r="L203">
        <v>5.43</v>
      </c>
      <c r="N203" s="6"/>
      <c r="O203" s="5"/>
    </row>
    <row r="204" spans="1:15" x14ac:dyDescent="0.55000000000000004">
      <c r="A204" s="6" t="s">
        <v>29</v>
      </c>
      <c r="B204" s="6">
        <v>15.56</v>
      </c>
      <c r="C204" s="5">
        <f t="shared" si="14"/>
        <v>10.130000000000001</v>
      </c>
      <c r="D204" s="5">
        <f t="shared" si="15"/>
        <v>20.990000000000002</v>
      </c>
      <c r="E204" s="5">
        <v>15.56</v>
      </c>
      <c r="F204">
        <v>20</v>
      </c>
      <c r="G204" s="8">
        <v>15</v>
      </c>
      <c r="H204" s="8">
        <v>23</v>
      </c>
      <c r="I204" t="s">
        <v>107</v>
      </c>
      <c r="J204" t="s">
        <v>82</v>
      </c>
      <c r="K204" t="s">
        <v>77</v>
      </c>
      <c r="L204">
        <v>5.43</v>
      </c>
      <c r="N204" s="6"/>
      <c r="O204" s="5"/>
    </row>
    <row r="205" spans="1:15" x14ac:dyDescent="0.55000000000000004">
      <c r="A205" s="6" t="s">
        <v>42</v>
      </c>
      <c r="B205" s="6">
        <v>15.6</v>
      </c>
      <c r="C205" s="5">
        <f t="shared" si="14"/>
        <v>10.17</v>
      </c>
      <c r="D205" s="5">
        <f t="shared" si="15"/>
        <v>21.03</v>
      </c>
      <c r="E205" s="5">
        <v>21.03</v>
      </c>
      <c r="F205">
        <v>21</v>
      </c>
      <c r="G205" s="8">
        <v>22</v>
      </c>
      <c r="H205" s="8">
        <v>25</v>
      </c>
      <c r="I205" t="s">
        <v>107</v>
      </c>
      <c r="J205" t="s">
        <v>82</v>
      </c>
      <c r="K205" t="s">
        <v>77</v>
      </c>
      <c r="L205">
        <v>5.43</v>
      </c>
      <c r="N205" s="6"/>
      <c r="O205" s="5"/>
    </row>
    <row r="206" spans="1:15" x14ac:dyDescent="0.55000000000000004">
      <c r="A206" s="6" t="s">
        <v>31</v>
      </c>
      <c r="B206" s="6">
        <v>16.21</v>
      </c>
      <c r="C206" s="5">
        <f t="shared" si="14"/>
        <v>10.780000000000001</v>
      </c>
      <c r="D206" s="5">
        <f t="shared" si="15"/>
        <v>21.64</v>
      </c>
      <c r="E206" s="5">
        <v>16.21</v>
      </c>
      <c r="F206">
        <v>22</v>
      </c>
      <c r="G206" s="8">
        <v>16</v>
      </c>
      <c r="H206" s="8">
        <v>20</v>
      </c>
      <c r="I206" t="s">
        <v>107</v>
      </c>
      <c r="J206" t="s">
        <v>82</v>
      </c>
      <c r="K206" t="s">
        <v>77</v>
      </c>
      <c r="L206">
        <v>5.43</v>
      </c>
      <c r="N206" s="6"/>
      <c r="O206" s="5"/>
    </row>
    <row r="207" spans="1:15" x14ac:dyDescent="0.55000000000000004">
      <c r="A207" s="6" t="s">
        <v>26</v>
      </c>
      <c r="B207" s="6">
        <v>16.37</v>
      </c>
      <c r="C207" s="5">
        <f t="shared" si="14"/>
        <v>10.940000000000001</v>
      </c>
      <c r="D207" s="5">
        <f t="shared" si="15"/>
        <v>21.8</v>
      </c>
      <c r="E207" s="5">
        <v>21.8</v>
      </c>
      <c r="F207">
        <v>23</v>
      </c>
      <c r="G207" s="8">
        <v>23</v>
      </c>
      <c r="H207" s="8">
        <v>16</v>
      </c>
      <c r="I207" t="s">
        <v>107</v>
      </c>
      <c r="J207" t="s">
        <v>82</v>
      </c>
      <c r="K207" t="s">
        <v>77</v>
      </c>
      <c r="L207">
        <v>5.43</v>
      </c>
      <c r="N207" s="6"/>
      <c r="O207" s="5"/>
    </row>
    <row r="208" spans="1:15" x14ac:dyDescent="0.55000000000000004">
      <c r="A208" s="6" t="s">
        <v>46</v>
      </c>
      <c r="B208" s="6">
        <v>17.170000000000002</v>
      </c>
      <c r="C208" s="5">
        <f t="shared" si="14"/>
        <v>11.740000000000002</v>
      </c>
      <c r="D208" s="5">
        <f t="shared" si="15"/>
        <v>22.6</v>
      </c>
      <c r="E208" s="5">
        <v>22.6</v>
      </c>
      <c r="F208">
        <v>24</v>
      </c>
      <c r="G208" s="8">
        <v>24</v>
      </c>
      <c r="H208" s="8">
        <v>21</v>
      </c>
      <c r="I208" t="s">
        <v>107</v>
      </c>
      <c r="J208" t="s">
        <v>82</v>
      </c>
      <c r="K208" t="s">
        <v>77</v>
      </c>
      <c r="L208">
        <v>5.43</v>
      </c>
      <c r="N208" s="6"/>
      <c r="O208" s="5"/>
    </row>
    <row r="209" spans="1:15" x14ac:dyDescent="0.55000000000000004">
      <c r="A209" s="6" t="s">
        <v>43</v>
      </c>
      <c r="B209" s="6">
        <v>18.11</v>
      </c>
      <c r="C209" s="5">
        <f t="shared" si="14"/>
        <v>12.68</v>
      </c>
      <c r="D209" s="5">
        <f t="shared" si="15"/>
        <v>23.54</v>
      </c>
      <c r="E209" s="5">
        <v>23.54</v>
      </c>
      <c r="F209">
        <v>25</v>
      </c>
      <c r="G209" s="8">
        <v>25</v>
      </c>
      <c r="H209" s="8">
        <v>14</v>
      </c>
      <c r="I209" t="s">
        <v>107</v>
      </c>
      <c r="J209" t="s">
        <v>82</v>
      </c>
      <c r="K209" t="s">
        <v>77</v>
      </c>
      <c r="L209">
        <v>5.43</v>
      </c>
      <c r="N209" s="6"/>
      <c r="O209" s="5"/>
    </row>
    <row r="210" spans="1:15" x14ac:dyDescent="0.55000000000000004">
      <c r="A210" s="6" t="s">
        <v>37</v>
      </c>
      <c r="B210" s="6">
        <v>10.51</v>
      </c>
      <c r="C210" s="5">
        <f>B210-L210</f>
        <v>5.08</v>
      </c>
      <c r="D210" s="5">
        <f>B210+L210</f>
        <v>15.94</v>
      </c>
      <c r="E210" s="5">
        <v>10.51</v>
      </c>
      <c r="F210">
        <v>1</v>
      </c>
      <c r="G210" s="8">
        <v>8</v>
      </c>
      <c r="H210" s="8"/>
      <c r="I210" t="s">
        <v>108</v>
      </c>
      <c r="J210" t="s">
        <v>85</v>
      </c>
      <c r="K210" t="s">
        <v>77</v>
      </c>
      <c r="L210">
        <v>5.43</v>
      </c>
      <c r="N210" s="6"/>
      <c r="O210" s="5"/>
    </row>
    <row r="211" spans="1:15" x14ac:dyDescent="0.55000000000000004">
      <c r="A211" s="6" t="s">
        <v>36</v>
      </c>
      <c r="B211" s="6">
        <v>10.58</v>
      </c>
      <c r="C211" s="5">
        <f t="shared" ref="C211:C233" si="16">B211-L211</f>
        <v>5.15</v>
      </c>
      <c r="D211" s="5">
        <f t="shared" ref="D211:D234" si="17">B211+L211</f>
        <v>16.009999999999998</v>
      </c>
      <c r="E211" s="5">
        <v>10.58</v>
      </c>
      <c r="F211">
        <v>2</v>
      </c>
      <c r="G211" s="8">
        <v>9</v>
      </c>
      <c r="H211" s="8"/>
      <c r="I211" t="s">
        <v>108</v>
      </c>
      <c r="J211" t="s">
        <v>85</v>
      </c>
      <c r="K211" t="s">
        <v>77</v>
      </c>
      <c r="L211">
        <v>5.43</v>
      </c>
      <c r="N211" s="6"/>
      <c r="O211" s="5"/>
    </row>
    <row r="212" spans="1:15" x14ac:dyDescent="0.55000000000000004">
      <c r="A212" s="6" t="s">
        <v>38</v>
      </c>
      <c r="B212" s="6">
        <v>11.03</v>
      </c>
      <c r="C212" s="5">
        <f t="shared" si="16"/>
        <v>5.6</v>
      </c>
      <c r="D212" s="5">
        <f t="shared" si="17"/>
        <v>16.46</v>
      </c>
      <c r="E212" s="5">
        <v>5.6</v>
      </c>
      <c r="F212">
        <v>3</v>
      </c>
      <c r="G212" s="8">
        <v>1</v>
      </c>
      <c r="H212" s="8"/>
      <c r="I212" t="s">
        <v>108</v>
      </c>
      <c r="J212" t="s">
        <v>85</v>
      </c>
      <c r="K212" t="s">
        <v>77</v>
      </c>
      <c r="L212">
        <v>5.43</v>
      </c>
      <c r="N212" s="6"/>
    </row>
    <row r="213" spans="1:15" x14ac:dyDescent="0.55000000000000004">
      <c r="A213" s="6" t="s">
        <v>35</v>
      </c>
      <c r="B213" s="6">
        <v>11.18</v>
      </c>
      <c r="C213" s="5">
        <f t="shared" si="16"/>
        <v>5.75</v>
      </c>
      <c r="D213" s="5">
        <f t="shared" si="17"/>
        <v>16.61</v>
      </c>
      <c r="E213" s="5">
        <v>5.75</v>
      </c>
      <c r="F213">
        <v>4</v>
      </c>
      <c r="G213" s="8">
        <v>2</v>
      </c>
      <c r="H213" s="8"/>
      <c r="I213" t="s">
        <v>108</v>
      </c>
      <c r="J213" t="s">
        <v>85</v>
      </c>
      <c r="K213" t="s">
        <v>77</v>
      </c>
      <c r="L213">
        <v>5.43</v>
      </c>
      <c r="N213" s="6"/>
      <c r="O213" s="5"/>
    </row>
    <row r="214" spans="1:15" x14ac:dyDescent="0.55000000000000004">
      <c r="A214" s="6" t="s">
        <v>27</v>
      </c>
      <c r="B214" s="6">
        <v>11.32</v>
      </c>
      <c r="C214" s="5">
        <f t="shared" si="16"/>
        <v>5.8900000000000006</v>
      </c>
      <c r="D214" s="5">
        <f t="shared" si="17"/>
        <v>16.75</v>
      </c>
      <c r="E214" s="5">
        <v>5.89</v>
      </c>
      <c r="F214">
        <v>5</v>
      </c>
      <c r="G214" s="8">
        <v>3</v>
      </c>
      <c r="H214" s="8"/>
      <c r="I214" t="s">
        <v>108</v>
      </c>
      <c r="J214" t="s">
        <v>85</v>
      </c>
      <c r="K214" t="s">
        <v>77</v>
      </c>
      <c r="L214">
        <v>5.43</v>
      </c>
      <c r="N214" s="6"/>
      <c r="O214" s="5"/>
    </row>
    <row r="215" spans="1:15" x14ac:dyDescent="0.55000000000000004">
      <c r="A215" s="6" t="s">
        <v>39</v>
      </c>
      <c r="B215" s="6">
        <v>11.46</v>
      </c>
      <c r="C215" s="5">
        <f t="shared" si="16"/>
        <v>6.0300000000000011</v>
      </c>
      <c r="D215" s="5">
        <f t="shared" si="17"/>
        <v>16.89</v>
      </c>
      <c r="E215">
        <v>6.03</v>
      </c>
      <c r="F215">
        <v>6</v>
      </c>
      <c r="G215" s="8">
        <v>4</v>
      </c>
      <c r="H215" s="8"/>
      <c r="I215" t="s">
        <v>108</v>
      </c>
      <c r="J215" t="s">
        <v>85</v>
      </c>
      <c r="K215" t="s">
        <v>77</v>
      </c>
      <c r="L215">
        <v>5.43</v>
      </c>
      <c r="N215" s="6"/>
      <c r="O215" s="5"/>
    </row>
    <row r="216" spans="1:15" x14ac:dyDescent="0.55000000000000004">
      <c r="A216" s="6" t="s">
        <v>29</v>
      </c>
      <c r="B216" s="6">
        <v>12.77</v>
      </c>
      <c r="C216" s="5">
        <f t="shared" si="16"/>
        <v>7.34</v>
      </c>
      <c r="D216" s="5">
        <f t="shared" si="17"/>
        <v>18.2</v>
      </c>
      <c r="E216" s="5">
        <v>7.34</v>
      </c>
      <c r="F216">
        <v>7</v>
      </c>
      <c r="G216" s="8">
        <v>5</v>
      </c>
      <c r="H216" s="8"/>
      <c r="I216" t="s">
        <v>108</v>
      </c>
      <c r="J216" t="s">
        <v>85</v>
      </c>
      <c r="K216" t="s">
        <v>77</v>
      </c>
      <c r="L216">
        <v>5.43</v>
      </c>
      <c r="N216" s="6"/>
      <c r="O216" s="5"/>
    </row>
    <row r="217" spans="1:15" x14ac:dyDescent="0.55000000000000004">
      <c r="A217" s="6" t="s">
        <v>48</v>
      </c>
      <c r="B217" s="6">
        <v>12.87</v>
      </c>
      <c r="C217" s="5">
        <f t="shared" si="16"/>
        <v>7.4399999999999995</v>
      </c>
      <c r="D217" s="5">
        <f t="shared" si="17"/>
        <v>18.299999999999997</v>
      </c>
      <c r="E217" s="5">
        <v>18.3</v>
      </c>
      <c r="F217">
        <v>8</v>
      </c>
      <c r="G217" s="8">
        <v>21</v>
      </c>
      <c r="H217" s="8"/>
      <c r="I217" t="s">
        <v>108</v>
      </c>
      <c r="J217" t="s">
        <v>85</v>
      </c>
      <c r="K217" t="s">
        <v>77</v>
      </c>
      <c r="L217">
        <v>5.43</v>
      </c>
      <c r="N217" s="6"/>
      <c r="O217" s="5"/>
    </row>
    <row r="218" spans="1:15" x14ac:dyDescent="0.55000000000000004">
      <c r="A218" s="6" t="s">
        <v>45</v>
      </c>
      <c r="B218" s="6">
        <v>12.9</v>
      </c>
      <c r="C218" s="5">
        <f t="shared" si="16"/>
        <v>7.4700000000000006</v>
      </c>
      <c r="D218" s="5">
        <f t="shared" si="17"/>
        <v>18.329999999999998</v>
      </c>
      <c r="E218" s="5">
        <v>12.9</v>
      </c>
      <c r="F218">
        <v>9</v>
      </c>
      <c r="G218" s="8">
        <v>10</v>
      </c>
      <c r="H218" s="8"/>
      <c r="I218" t="s">
        <v>108</v>
      </c>
      <c r="J218" t="s">
        <v>85</v>
      </c>
      <c r="K218" t="s">
        <v>77</v>
      </c>
      <c r="L218">
        <v>5.43</v>
      </c>
      <c r="N218" s="6"/>
      <c r="O218" s="5"/>
    </row>
    <row r="219" spans="1:15" x14ac:dyDescent="0.55000000000000004">
      <c r="A219" s="6" t="s">
        <v>44</v>
      </c>
      <c r="B219" s="6">
        <v>12.98</v>
      </c>
      <c r="C219" s="5">
        <f t="shared" si="16"/>
        <v>7.5500000000000007</v>
      </c>
      <c r="D219" s="5">
        <f t="shared" si="17"/>
        <v>18.41</v>
      </c>
      <c r="E219" s="5">
        <v>12.98</v>
      </c>
      <c r="F219">
        <v>10</v>
      </c>
      <c r="G219" s="8">
        <v>11</v>
      </c>
      <c r="H219" s="8"/>
      <c r="I219" t="s">
        <v>108</v>
      </c>
      <c r="J219" t="s">
        <v>85</v>
      </c>
      <c r="K219" t="s">
        <v>77</v>
      </c>
      <c r="L219">
        <v>5.43</v>
      </c>
      <c r="N219" s="6"/>
      <c r="O219" s="5"/>
    </row>
    <row r="220" spans="1:15" x14ac:dyDescent="0.55000000000000004">
      <c r="A220" s="6" t="s">
        <v>42</v>
      </c>
      <c r="B220" s="6">
        <v>13.11</v>
      </c>
      <c r="C220" s="5">
        <f t="shared" si="16"/>
        <v>7.68</v>
      </c>
      <c r="D220" s="5">
        <f t="shared" si="17"/>
        <v>18.54</v>
      </c>
      <c r="E220" s="5">
        <v>7.68</v>
      </c>
      <c r="F220">
        <v>11</v>
      </c>
      <c r="G220" s="8">
        <v>6</v>
      </c>
      <c r="H220" s="8"/>
      <c r="I220" t="s">
        <v>108</v>
      </c>
      <c r="J220" t="s">
        <v>85</v>
      </c>
      <c r="K220" t="s">
        <v>77</v>
      </c>
      <c r="L220">
        <v>5.43</v>
      </c>
      <c r="N220" s="6"/>
      <c r="O220" s="5"/>
    </row>
    <row r="221" spans="1:15" x14ac:dyDescent="0.55000000000000004">
      <c r="A221" s="6" t="s">
        <v>49</v>
      </c>
      <c r="B221" s="6">
        <v>13.2</v>
      </c>
      <c r="C221" s="5">
        <f t="shared" si="16"/>
        <v>7.77</v>
      </c>
      <c r="D221" s="5">
        <f t="shared" si="17"/>
        <v>18.63</v>
      </c>
      <c r="E221" s="5">
        <v>13.2</v>
      </c>
      <c r="F221">
        <v>12</v>
      </c>
      <c r="G221" s="8">
        <v>12</v>
      </c>
      <c r="H221" s="8"/>
      <c r="I221" t="s">
        <v>108</v>
      </c>
      <c r="J221" t="s">
        <v>85</v>
      </c>
      <c r="K221" t="s">
        <v>77</v>
      </c>
      <c r="L221">
        <v>5.43</v>
      </c>
      <c r="N221" s="6"/>
      <c r="O221" s="5"/>
    </row>
    <row r="222" spans="1:15" x14ac:dyDescent="0.55000000000000004">
      <c r="A222" s="6" t="s">
        <v>25</v>
      </c>
      <c r="B222" s="6">
        <v>13.22</v>
      </c>
      <c r="C222" s="5">
        <f t="shared" si="16"/>
        <v>7.7900000000000009</v>
      </c>
      <c r="D222" s="5">
        <f t="shared" si="17"/>
        <v>18.649999999999999</v>
      </c>
      <c r="E222" s="5">
        <v>7.79</v>
      </c>
      <c r="F222">
        <v>13</v>
      </c>
      <c r="G222" s="8">
        <v>7</v>
      </c>
      <c r="H222" s="8"/>
      <c r="I222" t="s">
        <v>108</v>
      </c>
      <c r="J222" t="s">
        <v>85</v>
      </c>
      <c r="K222" t="s">
        <v>77</v>
      </c>
      <c r="L222">
        <v>5.43</v>
      </c>
      <c r="N222" s="6"/>
      <c r="O222" s="5"/>
    </row>
    <row r="223" spans="1:15" x14ac:dyDescent="0.55000000000000004">
      <c r="A223" s="6" t="s">
        <v>40</v>
      </c>
      <c r="B223" s="6">
        <v>13.24</v>
      </c>
      <c r="C223" s="5">
        <f t="shared" si="16"/>
        <v>7.8100000000000005</v>
      </c>
      <c r="D223" s="5">
        <f t="shared" si="17"/>
        <v>18.670000000000002</v>
      </c>
      <c r="E223" s="5">
        <v>13.24</v>
      </c>
      <c r="F223">
        <v>14</v>
      </c>
      <c r="G223" s="8">
        <v>13</v>
      </c>
      <c r="H223" s="8"/>
      <c r="I223" t="s">
        <v>108</v>
      </c>
      <c r="J223" t="s">
        <v>85</v>
      </c>
      <c r="K223" t="s">
        <v>77</v>
      </c>
      <c r="L223">
        <v>5.43</v>
      </c>
      <c r="N223" s="6"/>
      <c r="O223" s="5"/>
    </row>
    <row r="224" spans="1:15" x14ac:dyDescent="0.55000000000000004">
      <c r="A224" s="6" t="s">
        <v>34</v>
      </c>
      <c r="B224" s="6">
        <v>13.46</v>
      </c>
      <c r="C224" s="5">
        <f t="shared" si="16"/>
        <v>8.0300000000000011</v>
      </c>
      <c r="D224" s="5">
        <f t="shared" si="17"/>
        <v>18.89</v>
      </c>
      <c r="E224" s="5">
        <v>18.89</v>
      </c>
      <c r="F224">
        <v>15</v>
      </c>
      <c r="G224" s="8">
        <v>22</v>
      </c>
      <c r="H224" s="8"/>
      <c r="I224" t="s">
        <v>108</v>
      </c>
      <c r="J224" t="s">
        <v>85</v>
      </c>
      <c r="K224" t="s">
        <v>77</v>
      </c>
      <c r="L224">
        <v>5.43</v>
      </c>
      <c r="N224" s="6"/>
      <c r="O224" s="5"/>
    </row>
    <row r="225" spans="1:15" x14ac:dyDescent="0.55000000000000004">
      <c r="A225" s="6" t="s">
        <v>33</v>
      </c>
      <c r="B225" s="6">
        <v>13.52</v>
      </c>
      <c r="C225" s="5">
        <f t="shared" si="16"/>
        <v>8.09</v>
      </c>
      <c r="D225" s="5">
        <f t="shared" si="17"/>
        <v>18.95</v>
      </c>
      <c r="E225" s="5">
        <v>13.52</v>
      </c>
      <c r="F225">
        <v>16</v>
      </c>
      <c r="G225" s="8">
        <v>14</v>
      </c>
      <c r="H225" s="8"/>
      <c r="I225" t="s">
        <v>108</v>
      </c>
      <c r="J225" t="s">
        <v>85</v>
      </c>
      <c r="K225" t="s">
        <v>77</v>
      </c>
      <c r="L225">
        <v>5.43</v>
      </c>
      <c r="N225" s="6"/>
      <c r="O225" s="5"/>
    </row>
    <row r="226" spans="1:15" x14ac:dyDescent="0.55000000000000004">
      <c r="A226" s="6" t="s">
        <v>47</v>
      </c>
      <c r="B226" s="6">
        <v>13.68</v>
      </c>
      <c r="C226" s="5">
        <f t="shared" si="16"/>
        <v>8.25</v>
      </c>
      <c r="D226" s="5">
        <f t="shared" si="17"/>
        <v>19.11</v>
      </c>
      <c r="E226" s="5">
        <v>13.68</v>
      </c>
      <c r="F226">
        <v>17</v>
      </c>
      <c r="G226" s="8">
        <v>15</v>
      </c>
      <c r="H226" s="8"/>
      <c r="I226" t="s">
        <v>108</v>
      </c>
      <c r="J226" t="s">
        <v>85</v>
      </c>
      <c r="K226" t="s">
        <v>77</v>
      </c>
      <c r="L226">
        <v>5.43</v>
      </c>
      <c r="N226" s="6"/>
      <c r="O226" s="5"/>
    </row>
    <row r="227" spans="1:15" x14ac:dyDescent="0.55000000000000004">
      <c r="A227" s="6" t="s">
        <v>41</v>
      </c>
      <c r="B227" s="6">
        <v>14.59</v>
      </c>
      <c r="C227" s="5">
        <f t="shared" si="16"/>
        <v>9.16</v>
      </c>
      <c r="D227" s="5">
        <f t="shared" si="17"/>
        <v>20.02</v>
      </c>
      <c r="E227" s="5">
        <v>14.59</v>
      </c>
      <c r="F227">
        <v>18</v>
      </c>
      <c r="G227" s="8">
        <v>16</v>
      </c>
      <c r="H227" s="8"/>
      <c r="I227" t="s">
        <v>108</v>
      </c>
      <c r="J227" t="s">
        <v>85</v>
      </c>
      <c r="K227" t="s">
        <v>77</v>
      </c>
      <c r="L227">
        <v>5.43</v>
      </c>
      <c r="N227" s="6"/>
      <c r="O227" s="5"/>
    </row>
    <row r="228" spans="1:15" x14ac:dyDescent="0.55000000000000004">
      <c r="A228" s="6" t="s">
        <v>28</v>
      </c>
      <c r="B228" s="6">
        <v>14.71</v>
      </c>
      <c r="C228" s="5">
        <f t="shared" si="16"/>
        <v>9.2800000000000011</v>
      </c>
      <c r="D228" s="5">
        <f t="shared" si="17"/>
        <v>20.14</v>
      </c>
      <c r="E228" s="5">
        <v>14.71</v>
      </c>
      <c r="F228">
        <v>19</v>
      </c>
      <c r="G228" s="8">
        <v>17</v>
      </c>
      <c r="H228" s="8"/>
      <c r="I228" t="s">
        <v>108</v>
      </c>
      <c r="J228" t="s">
        <v>85</v>
      </c>
      <c r="K228" t="s">
        <v>77</v>
      </c>
      <c r="L228">
        <v>5.43</v>
      </c>
      <c r="N228" s="6"/>
      <c r="O228" s="5"/>
    </row>
    <row r="229" spans="1:15" x14ac:dyDescent="0.55000000000000004">
      <c r="A229" s="6" t="s">
        <v>32</v>
      </c>
      <c r="B229" s="6">
        <v>14.94</v>
      </c>
      <c r="C229" s="5">
        <f t="shared" si="16"/>
        <v>9.51</v>
      </c>
      <c r="D229" s="5">
        <f t="shared" si="17"/>
        <v>20.369999999999997</v>
      </c>
      <c r="E229" s="5">
        <v>20.37</v>
      </c>
      <c r="F229">
        <v>20</v>
      </c>
      <c r="G229" s="8">
        <v>23</v>
      </c>
      <c r="H229" s="8"/>
      <c r="I229" t="s">
        <v>108</v>
      </c>
      <c r="J229" t="s">
        <v>85</v>
      </c>
      <c r="K229" t="s">
        <v>77</v>
      </c>
      <c r="L229">
        <v>5.43</v>
      </c>
      <c r="N229" s="6"/>
      <c r="O229" s="5"/>
    </row>
    <row r="230" spans="1:15" x14ac:dyDescent="0.55000000000000004">
      <c r="A230" s="6" t="s">
        <v>30</v>
      </c>
      <c r="B230" s="6">
        <v>15.08</v>
      </c>
      <c r="C230" s="5">
        <f t="shared" si="16"/>
        <v>9.65</v>
      </c>
      <c r="D230" s="5">
        <f t="shared" si="17"/>
        <v>20.509999999999998</v>
      </c>
      <c r="E230" s="5">
        <v>20.51</v>
      </c>
      <c r="F230">
        <v>21</v>
      </c>
      <c r="G230" s="8">
        <v>24</v>
      </c>
      <c r="H230" s="8"/>
      <c r="I230" t="s">
        <v>108</v>
      </c>
      <c r="J230" t="s">
        <v>85</v>
      </c>
      <c r="K230" t="s">
        <v>77</v>
      </c>
      <c r="L230">
        <v>5.43</v>
      </c>
      <c r="N230" s="6"/>
      <c r="O230" s="5"/>
    </row>
    <row r="231" spans="1:15" x14ac:dyDescent="0.55000000000000004">
      <c r="A231" s="6" t="s">
        <v>31</v>
      </c>
      <c r="B231" s="6">
        <v>15.11</v>
      </c>
      <c r="C231" s="5">
        <f t="shared" si="16"/>
        <v>9.68</v>
      </c>
      <c r="D231" s="5">
        <f t="shared" si="17"/>
        <v>20.54</v>
      </c>
      <c r="E231" s="5">
        <v>15.11</v>
      </c>
      <c r="F231">
        <v>22</v>
      </c>
      <c r="G231" s="8">
        <v>18</v>
      </c>
      <c r="H231" s="8"/>
      <c r="I231" t="s">
        <v>108</v>
      </c>
      <c r="J231" t="s">
        <v>85</v>
      </c>
      <c r="K231" t="s">
        <v>77</v>
      </c>
      <c r="L231">
        <v>5.43</v>
      </c>
      <c r="N231" s="6"/>
      <c r="O231" s="5"/>
    </row>
    <row r="232" spans="1:15" x14ac:dyDescent="0.55000000000000004">
      <c r="A232" s="6" t="s">
        <v>26</v>
      </c>
      <c r="B232" s="6">
        <v>15.26</v>
      </c>
      <c r="C232" s="5">
        <f t="shared" si="16"/>
        <v>9.83</v>
      </c>
      <c r="D232" s="5">
        <f t="shared" si="17"/>
        <v>20.689999999999998</v>
      </c>
      <c r="E232" s="5">
        <v>15.26</v>
      </c>
      <c r="F232">
        <v>23</v>
      </c>
      <c r="G232" s="8">
        <v>19</v>
      </c>
      <c r="H232" s="8"/>
      <c r="I232" t="s">
        <v>108</v>
      </c>
      <c r="J232" t="s">
        <v>85</v>
      </c>
      <c r="K232" t="s">
        <v>77</v>
      </c>
      <c r="L232">
        <v>5.43</v>
      </c>
      <c r="N232" s="6"/>
      <c r="O232" s="5"/>
    </row>
    <row r="233" spans="1:15" x14ac:dyDescent="0.55000000000000004">
      <c r="A233" s="6" t="s">
        <v>43</v>
      </c>
      <c r="B233" s="6">
        <v>15.31</v>
      </c>
      <c r="C233" s="5">
        <f t="shared" si="16"/>
        <v>9.8800000000000008</v>
      </c>
      <c r="D233" s="5">
        <f t="shared" si="17"/>
        <v>20.740000000000002</v>
      </c>
      <c r="E233" s="5">
        <v>20.74</v>
      </c>
      <c r="F233">
        <v>24</v>
      </c>
      <c r="G233" s="8">
        <v>25</v>
      </c>
      <c r="H233" s="8"/>
      <c r="I233" t="s">
        <v>108</v>
      </c>
      <c r="J233" t="s">
        <v>85</v>
      </c>
      <c r="K233" t="s">
        <v>77</v>
      </c>
      <c r="L233">
        <v>5.43</v>
      </c>
      <c r="N233" s="6"/>
      <c r="O233" s="5"/>
    </row>
    <row r="234" spans="1:15" x14ac:dyDescent="0.55000000000000004">
      <c r="A234" s="6" t="s">
        <v>46</v>
      </c>
      <c r="B234" s="6">
        <v>15.38</v>
      </c>
      <c r="C234" s="5">
        <f>B234-L234</f>
        <v>9.9500000000000011</v>
      </c>
      <c r="D234" s="5">
        <f t="shared" si="17"/>
        <v>20.810000000000002</v>
      </c>
      <c r="E234" s="5">
        <v>15.38</v>
      </c>
      <c r="F234">
        <v>25</v>
      </c>
      <c r="G234" s="8">
        <v>20</v>
      </c>
      <c r="H234" s="8"/>
      <c r="I234" t="s">
        <v>108</v>
      </c>
      <c r="J234" t="s">
        <v>85</v>
      </c>
      <c r="K234" t="s">
        <v>77</v>
      </c>
      <c r="L234">
        <v>5.43</v>
      </c>
    </row>
    <row r="235" spans="1:15" x14ac:dyDescent="0.55000000000000004">
      <c r="A235" s="6" t="s">
        <v>36</v>
      </c>
      <c r="B235" s="6">
        <v>10.93</v>
      </c>
      <c r="G235" s="8"/>
      <c r="H235" s="8"/>
      <c r="I235" t="s">
        <v>109</v>
      </c>
      <c r="J235" t="s">
        <v>85</v>
      </c>
      <c r="K235" t="s">
        <v>77</v>
      </c>
      <c r="L235">
        <v>5.43</v>
      </c>
    </row>
    <row r="236" spans="1:15" x14ac:dyDescent="0.55000000000000004">
      <c r="A236" s="6" t="s">
        <v>37</v>
      </c>
      <c r="B236" s="6">
        <v>10.96</v>
      </c>
      <c r="G236" s="8"/>
      <c r="H236" s="8"/>
      <c r="I236" t="s">
        <v>109</v>
      </c>
      <c r="J236" t="s">
        <v>85</v>
      </c>
      <c r="K236" t="s">
        <v>77</v>
      </c>
      <c r="L236">
        <v>5.43</v>
      </c>
    </row>
    <row r="237" spans="1:15" x14ac:dyDescent="0.55000000000000004">
      <c r="A237" s="6" t="s">
        <v>38</v>
      </c>
      <c r="B237" s="6">
        <v>11.4</v>
      </c>
      <c r="G237" s="8"/>
      <c r="H237" s="8"/>
      <c r="I237" t="s">
        <v>109</v>
      </c>
      <c r="J237" t="s">
        <v>85</v>
      </c>
      <c r="K237" t="s">
        <v>77</v>
      </c>
      <c r="L237">
        <v>5.43</v>
      </c>
    </row>
    <row r="238" spans="1:15" x14ac:dyDescent="0.55000000000000004">
      <c r="A238" s="6" t="s">
        <v>35</v>
      </c>
      <c r="B238" s="6">
        <v>11.91</v>
      </c>
      <c r="G238" s="8"/>
      <c r="H238" s="8"/>
      <c r="I238" t="s">
        <v>109</v>
      </c>
      <c r="J238" t="s">
        <v>85</v>
      </c>
      <c r="K238" t="s">
        <v>77</v>
      </c>
      <c r="L238">
        <v>5.43</v>
      </c>
    </row>
    <row r="239" spans="1:15" x14ac:dyDescent="0.55000000000000004">
      <c r="A239" s="6" t="s">
        <v>33</v>
      </c>
      <c r="B239" s="6">
        <v>12.31</v>
      </c>
      <c r="G239" s="8"/>
      <c r="H239" s="8"/>
      <c r="I239" t="s">
        <v>109</v>
      </c>
      <c r="J239" t="s">
        <v>85</v>
      </c>
      <c r="K239" t="s">
        <v>77</v>
      </c>
      <c r="L239">
        <v>5.43</v>
      </c>
    </row>
    <row r="240" spans="1:15" x14ac:dyDescent="0.55000000000000004">
      <c r="A240" s="6" t="s">
        <v>39</v>
      </c>
      <c r="B240" s="6">
        <v>12.61</v>
      </c>
      <c r="G240" s="8"/>
      <c r="H240" s="8"/>
      <c r="I240" t="s">
        <v>109</v>
      </c>
      <c r="J240" t="s">
        <v>85</v>
      </c>
      <c r="K240" t="s">
        <v>77</v>
      </c>
      <c r="L240">
        <v>5.43</v>
      </c>
    </row>
    <row r="241" spans="1:12" x14ac:dyDescent="0.55000000000000004">
      <c r="A241" s="6" t="s">
        <v>27</v>
      </c>
      <c r="B241" s="6">
        <v>12.66</v>
      </c>
      <c r="G241" s="8"/>
      <c r="H241" s="8"/>
      <c r="I241" t="s">
        <v>109</v>
      </c>
      <c r="J241" t="s">
        <v>85</v>
      </c>
      <c r="K241" t="s">
        <v>77</v>
      </c>
      <c r="L241">
        <v>5.43</v>
      </c>
    </row>
    <row r="242" spans="1:12" x14ac:dyDescent="0.55000000000000004">
      <c r="A242" s="6" t="s">
        <v>29</v>
      </c>
      <c r="B242" s="6">
        <v>12.76</v>
      </c>
      <c r="G242" s="8"/>
      <c r="H242" s="8"/>
      <c r="I242" t="s">
        <v>109</v>
      </c>
      <c r="J242" t="s">
        <v>85</v>
      </c>
      <c r="K242" t="s">
        <v>77</v>
      </c>
      <c r="L242">
        <v>5.43</v>
      </c>
    </row>
    <row r="243" spans="1:12" x14ac:dyDescent="0.55000000000000004">
      <c r="A243" s="6" t="s">
        <v>45</v>
      </c>
      <c r="B243" s="6">
        <v>13.04</v>
      </c>
      <c r="G243" s="8"/>
      <c r="H243" s="8"/>
      <c r="I243" t="s">
        <v>109</v>
      </c>
      <c r="J243" t="s">
        <v>85</v>
      </c>
      <c r="K243" t="s">
        <v>77</v>
      </c>
      <c r="L243">
        <v>5.43</v>
      </c>
    </row>
    <row r="244" spans="1:12" x14ac:dyDescent="0.55000000000000004">
      <c r="A244" s="6" t="s">
        <v>49</v>
      </c>
      <c r="B244" s="6">
        <v>13.07</v>
      </c>
      <c r="G244" s="8"/>
      <c r="H244" s="8"/>
      <c r="I244" t="s">
        <v>109</v>
      </c>
      <c r="J244" t="s">
        <v>85</v>
      </c>
      <c r="K244" t="s">
        <v>77</v>
      </c>
      <c r="L244">
        <v>5.43</v>
      </c>
    </row>
    <row r="245" spans="1:12" x14ac:dyDescent="0.55000000000000004">
      <c r="A245" s="6" t="s">
        <v>42</v>
      </c>
      <c r="B245" s="6">
        <v>13.11</v>
      </c>
      <c r="G245" s="8"/>
      <c r="H245" s="8"/>
      <c r="I245" t="s">
        <v>109</v>
      </c>
      <c r="J245" t="s">
        <v>85</v>
      </c>
      <c r="K245" t="s">
        <v>77</v>
      </c>
      <c r="L245">
        <v>5.43</v>
      </c>
    </row>
    <row r="246" spans="1:12" x14ac:dyDescent="0.55000000000000004">
      <c r="A246" s="6" t="s">
        <v>25</v>
      </c>
      <c r="B246" s="6">
        <v>13.11</v>
      </c>
      <c r="G246" s="8"/>
      <c r="H246" s="8"/>
      <c r="I246" t="s">
        <v>109</v>
      </c>
      <c r="J246" t="s">
        <v>85</v>
      </c>
      <c r="K246" t="s">
        <v>77</v>
      </c>
      <c r="L246">
        <v>5.43</v>
      </c>
    </row>
    <row r="247" spans="1:12" x14ac:dyDescent="0.55000000000000004">
      <c r="A247" s="6" t="s">
        <v>44</v>
      </c>
      <c r="B247" s="6">
        <v>13.18</v>
      </c>
      <c r="G247" s="8"/>
      <c r="H247" s="8"/>
      <c r="I247" t="s">
        <v>109</v>
      </c>
      <c r="J247" t="s">
        <v>85</v>
      </c>
      <c r="K247" t="s">
        <v>77</v>
      </c>
      <c r="L247">
        <v>5.43</v>
      </c>
    </row>
    <row r="248" spans="1:12" x14ac:dyDescent="0.55000000000000004">
      <c r="A248" s="6" t="s">
        <v>40</v>
      </c>
      <c r="B248" s="6">
        <v>13.34</v>
      </c>
      <c r="G248" s="8"/>
      <c r="H248" s="8"/>
      <c r="I248" t="s">
        <v>109</v>
      </c>
      <c r="J248" t="s">
        <v>85</v>
      </c>
      <c r="K248" t="s">
        <v>77</v>
      </c>
      <c r="L248">
        <v>5.43</v>
      </c>
    </row>
    <row r="249" spans="1:12" x14ac:dyDescent="0.55000000000000004">
      <c r="A249" s="6" t="s">
        <v>34</v>
      </c>
      <c r="B249" s="6">
        <v>13.77</v>
      </c>
      <c r="G249" s="8"/>
      <c r="H249" s="8"/>
      <c r="I249" t="s">
        <v>109</v>
      </c>
      <c r="J249" t="s">
        <v>85</v>
      </c>
      <c r="K249" t="s">
        <v>77</v>
      </c>
      <c r="L249">
        <v>5.43</v>
      </c>
    </row>
    <row r="250" spans="1:12" x14ac:dyDescent="0.55000000000000004">
      <c r="A250" s="6" t="s">
        <v>48</v>
      </c>
      <c r="B250" s="6">
        <v>14.11</v>
      </c>
      <c r="G250" s="8"/>
      <c r="H250" s="8"/>
      <c r="I250" t="s">
        <v>109</v>
      </c>
      <c r="J250" t="s">
        <v>85</v>
      </c>
      <c r="K250" t="s">
        <v>77</v>
      </c>
      <c r="L250">
        <v>5.43</v>
      </c>
    </row>
    <row r="251" spans="1:12" x14ac:dyDescent="0.55000000000000004">
      <c r="A251" s="6" t="s">
        <v>28</v>
      </c>
      <c r="B251" s="6">
        <v>14.19</v>
      </c>
      <c r="G251" s="8"/>
      <c r="H251" s="8"/>
      <c r="I251" t="s">
        <v>109</v>
      </c>
      <c r="J251" t="s">
        <v>85</v>
      </c>
      <c r="K251" t="s">
        <v>77</v>
      </c>
      <c r="L251">
        <v>5.43</v>
      </c>
    </row>
    <row r="252" spans="1:12" x14ac:dyDescent="0.55000000000000004">
      <c r="A252" s="6" t="s">
        <v>41</v>
      </c>
      <c r="B252" s="6">
        <v>14.9</v>
      </c>
      <c r="G252" s="8"/>
      <c r="H252" s="8"/>
      <c r="I252" t="s">
        <v>109</v>
      </c>
      <c r="J252" t="s">
        <v>85</v>
      </c>
      <c r="K252" t="s">
        <v>77</v>
      </c>
      <c r="L252">
        <v>5.43</v>
      </c>
    </row>
    <row r="253" spans="1:12" x14ac:dyDescent="0.55000000000000004">
      <c r="A253" s="6" t="s">
        <v>47</v>
      </c>
      <c r="B253" s="6">
        <v>14.94</v>
      </c>
      <c r="G253" s="8"/>
      <c r="H253" s="8"/>
      <c r="I253" t="s">
        <v>109</v>
      </c>
      <c r="J253" t="s">
        <v>85</v>
      </c>
      <c r="K253" t="s">
        <v>77</v>
      </c>
      <c r="L253">
        <v>5.43</v>
      </c>
    </row>
    <row r="254" spans="1:12" x14ac:dyDescent="0.55000000000000004">
      <c r="A254" s="6" t="s">
        <v>32</v>
      </c>
      <c r="B254" s="6">
        <v>15.13</v>
      </c>
      <c r="G254" s="8"/>
      <c r="H254" s="8"/>
      <c r="I254" t="s">
        <v>109</v>
      </c>
      <c r="J254" t="s">
        <v>85</v>
      </c>
      <c r="K254" t="s">
        <v>77</v>
      </c>
      <c r="L254">
        <v>5.43</v>
      </c>
    </row>
    <row r="255" spans="1:12" x14ac:dyDescent="0.55000000000000004">
      <c r="A255" s="6" t="s">
        <v>43</v>
      </c>
      <c r="B255" s="6">
        <v>15.17</v>
      </c>
      <c r="G255" s="8"/>
      <c r="H255" s="8"/>
      <c r="I255" t="s">
        <v>109</v>
      </c>
      <c r="J255" t="s">
        <v>85</v>
      </c>
      <c r="K255" t="s">
        <v>77</v>
      </c>
      <c r="L255">
        <v>5.43</v>
      </c>
    </row>
    <row r="256" spans="1:12" x14ac:dyDescent="0.55000000000000004">
      <c r="A256" s="6" t="s">
        <v>30</v>
      </c>
      <c r="B256" s="6">
        <v>15.25</v>
      </c>
      <c r="G256" s="8"/>
      <c r="H256" s="8"/>
      <c r="I256" t="s">
        <v>109</v>
      </c>
      <c r="J256" t="s">
        <v>85</v>
      </c>
      <c r="K256" t="s">
        <v>77</v>
      </c>
      <c r="L256">
        <v>5.43</v>
      </c>
    </row>
    <row r="257" spans="1:14" x14ac:dyDescent="0.55000000000000004">
      <c r="A257" s="6" t="s">
        <v>26</v>
      </c>
      <c r="B257" s="6">
        <v>15.26</v>
      </c>
      <c r="G257" s="8"/>
      <c r="H257" s="8"/>
      <c r="I257" t="s">
        <v>109</v>
      </c>
      <c r="J257" t="s">
        <v>85</v>
      </c>
      <c r="K257" t="s">
        <v>77</v>
      </c>
      <c r="L257">
        <v>5.43</v>
      </c>
    </row>
    <row r="258" spans="1:14" x14ac:dyDescent="0.55000000000000004">
      <c r="A258" s="6" t="s">
        <v>31</v>
      </c>
      <c r="B258" s="6">
        <v>15.3</v>
      </c>
      <c r="G258" s="8"/>
      <c r="H258" s="8"/>
      <c r="I258" t="s">
        <v>109</v>
      </c>
      <c r="J258" t="s">
        <v>85</v>
      </c>
      <c r="K258" t="s">
        <v>77</v>
      </c>
      <c r="L258">
        <v>5.43</v>
      </c>
    </row>
    <row r="259" spans="1:14" x14ac:dyDescent="0.55000000000000004">
      <c r="A259" s="6" t="s">
        <v>46</v>
      </c>
      <c r="B259" s="6">
        <v>15.54</v>
      </c>
      <c r="G259" s="8"/>
      <c r="H259" s="8"/>
      <c r="I259" t="s">
        <v>109</v>
      </c>
      <c r="J259" t="s">
        <v>85</v>
      </c>
      <c r="K259" t="s">
        <v>77</v>
      </c>
      <c r="L259">
        <v>5.43</v>
      </c>
    </row>
    <row r="260" spans="1:14" x14ac:dyDescent="0.55000000000000004">
      <c r="A260" s="6" t="s">
        <v>36</v>
      </c>
      <c r="B260" s="6">
        <v>7.71</v>
      </c>
      <c r="C260">
        <f>B260-L260</f>
        <v>2.2800000000000002</v>
      </c>
      <c r="D260">
        <f>B260+L260</f>
        <v>13.14</v>
      </c>
      <c r="E260">
        <v>7.71</v>
      </c>
      <c r="F260">
        <v>1</v>
      </c>
      <c r="G260" s="8">
        <v>5</v>
      </c>
      <c r="H260" s="8"/>
      <c r="I260" t="s">
        <v>110</v>
      </c>
      <c r="J260" t="s">
        <v>85</v>
      </c>
      <c r="K260" t="s">
        <v>77</v>
      </c>
      <c r="L260">
        <v>5.43</v>
      </c>
      <c r="N260" s="6"/>
    </row>
    <row r="261" spans="1:14" x14ac:dyDescent="0.55000000000000004">
      <c r="A261" s="6" t="s">
        <v>35</v>
      </c>
      <c r="B261" s="6">
        <v>8.11</v>
      </c>
      <c r="C261">
        <f>B261-L261</f>
        <v>2.6799999999999997</v>
      </c>
      <c r="D261">
        <f t="shared" ref="D261:D284" si="18">B261+L261</f>
        <v>13.54</v>
      </c>
      <c r="E261">
        <v>2.68</v>
      </c>
      <c r="F261">
        <v>2</v>
      </c>
      <c r="G261" s="8">
        <v>1</v>
      </c>
      <c r="H261" s="8"/>
      <c r="I261" t="s">
        <v>110</v>
      </c>
      <c r="J261" t="s">
        <v>85</v>
      </c>
      <c r="K261" t="s">
        <v>77</v>
      </c>
      <c r="L261">
        <v>5.43</v>
      </c>
      <c r="N261" s="6"/>
    </row>
    <row r="262" spans="1:14" x14ac:dyDescent="0.55000000000000004">
      <c r="A262" s="6" t="s">
        <v>39</v>
      </c>
      <c r="B262" s="6">
        <v>8.2799999999999994</v>
      </c>
      <c r="C262">
        <f t="shared" ref="C262:C284" si="19">B262-L262</f>
        <v>2.8499999999999996</v>
      </c>
      <c r="D262">
        <f t="shared" si="18"/>
        <v>13.709999999999999</v>
      </c>
      <c r="E262">
        <v>8.2799999999999994</v>
      </c>
      <c r="F262">
        <v>3</v>
      </c>
      <c r="G262" s="8">
        <v>7</v>
      </c>
      <c r="H262" s="8"/>
      <c r="I262" t="s">
        <v>110</v>
      </c>
      <c r="J262" t="s">
        <v>85</v>
      </c>
      <c r="K262" t="s">
        <v>77</v>
      </c>
      <c r="L262">
        <v>5.43</v>
      </c>
      <c r="N262" s="6"/>
    </row>
    <row r="263" spans="1:14" x14ac:dyDescent="0.55000000000000004">
      <c r="A263" s="6" t="s">
        <v>38</v>
      </c>
      <c r="B263" s="6">
        <v>8.51</v>
      </c>
      <c r="C263">
        <f t="shared" si="19"/>
        <v>3.08</v>
      </c>
      <c r="D263">
        <f t="shared" si="18"/>
        <v>13.94</v>
      </c>
      <c r="E263">
        <v>3.08</v>
      </c>
      <c r="F263">
        <v>4</v>
      </c>
      <c r="G263" s="8">
        <v>2</v>
      </c>
      <c r="H263" s="8"/>
      <c r="I263" t="s">
        <v>110</v>
      </c>
      <c r="J263" t="s">
        <v>85</v>
      </c>
      <c r="K263" t="s">
        <v>77</v>
      </c>
      <c r="L263">
        <v>5.43</v>
      </c>
      <c r="N263" s="6"/>
    </row>
    <row r="264" spans="1:14" x14ac:dyDescent="0.55000000000000004">
      <c r="A264" s="6" t="s">
        <v>37</v>
      </c>
      <c r="B264" s="6">
        <v>9.23</v>
      </c>
      <c r="C264" s="12">
        <f t="shared" si="19"/>
        <v>3.8000000000000007</v>
      </c>
      <c r="D264">
        <f t="shared" si="18"/>
        <v>14.66</v>
      </c>
      <c r="E264">
        <v>3.8</v>
      </c>
      <c r="F264">
        <v>5</v>
      </c>
      <c r="G264" s="8">
        <v>3</v>
      </c>
      <c r="H264" s="8"/>
      <c r="I264" t="s">
        <v>110</v>
      </c>
      <c r="J264" t="s">
        <v>85</v>
      </c>
      <c r="K264" t="s">
        <v>77</v>
      </c>
      <c r="L264">
        <v>5.43</v>
      </c>
      <c r="N264" s="6"/>
    </row>
    <row r="265" spans="1:14" x14ac:dyDescent="0.55000000000000004">
      <c r="A265" s="6" t="s">
        <v>34</v>
      </c>
      <c r="B265" s="6">
        <v>9.23</v>
      </c>
      <c r="C265" s="12">
        <f t="shared" si="19"/>
        <v>3.8000000000000007</v>
      </c>
      <c r="D265">
        <f t="shared" si="18"/>
        <v>14.66</v>
      </c>
      <c r="E265">
        <v>14.66</v>
      </c>
      <c r="F265">
        <v>6</v>
      </c>
      <c r="G265" s="8">
        <v>18</v>
      </c>
      <c r="H265" s="8"/>
      <c r="I265" t="s">
        <v>110</v>
      </c>
      <c r="J265" t="s">
        <v>85</v>
      </c>
      <c r="K265" t="s">
        <v>77</v>
      </c>
      <c r="L265">
        <v>5.43</v>
      </c>
      <c r="N265" s="6"/>
    </row>
    <row r="266" spans="1:14" x14ac:dyDescent="0.55000000000000004">
      <c r="A266" s="6" t="s">
        <v>33</v>
      </c>
      <c r="B266" s="6">
        <v>9.26</v>
      </c>
      <c r="C266">
        <f t="shared" si="19"/>
        <v>3.83</v>
      </c>
      <c r="D266">
        <f t="shared" si="18"/>
        <v>14.69</v>
      </c>
      <c r="E266">
        <v>9.26</v>
      </c>
      <c r="F266">
        <v>7</v>
      </c>
      <c r="G266" s="8">
        <v>10</v>
      </c>
      <c r="H266" s="8"/>
      <c r="I266" t="s">
        <v>110</v>
      </c>
      <c r="J266" t="s">
        <v>85</v>
      </c>
      <c r="K266" t="s">
        <v>77</v>
      </c>
      <c r="L266">
        <v>5.43</v>
      </c>
      <c r="N266" s="6"/>
    </row>
    <row r="267" spans="1:14" x14ac:dyDescent="0.55000000000000004">
      <c r="A267" s="6" t="s">
        <v>49</v>
      </c>
      <c r="B267" s="6">
        <v>10.77</v>
      </c>
      <c r="C267">
        <f t="shared" si="19"/>
        <v>5.34</v>
      </c>
      <c r="D267">
        <f t="shared" si="18"/>
        <v>16.2</v>
      </c>
      <c r="E267">
        <v>10.77</v>
      </c>
      <c r="F267">
        <v>8</v>
      </c>
      <c r="G267" s="8">
        <v>11</v>
      </c>
      <c r="H267" s="8"/>
      <c r="I267" t="s">
        <v>110</v>
      </c>
      <c r="J267" t="s">
        <v>85</v>
      </c>
      <c r="K267" t="s">
        <v>77</v>
      </c>
      <c r="L267">
        <v>5.43</v>
      </c>
      <c r="N267" s="6"/>
    </row>
    <row r="268" spans="1:14" x14ac:dyDescent="0.55000000000000004">
      <c r="A268" s="6" t="s">
        <v>27</v>
      </c>
      <c r="B268" s="6">
        <v>10.94</v>
      </c>
      <c r="C268">
        <f t="shared" si="19"/>
        <v>5.51</v>
      </c>
      <c r="D268">
        <f t="shared" si="18"/>
        <v>16.369999999999997</v>
      </c>
      <c r="E268">
        <v>10.94</v>
      </c>
      <c r="F268">
        <v>9</v>
      </c>
      <c r="G268" s="8">
        <v>12</v>
      </c>
      <c r="H268" s="8"/>
      <c r="I268" t="s">
        <v>110</v>
      </c>
      <c r="J268" t="s">
        <v>85</v>
      </c>
      <c r="K268" t="s">
        <v>77</v>
      </c>
      <c r="L268">
        <v>5.43</v>
      </c>
      <c r="N268" s="6"/>
    </row>
    <row r="269" spans="1:14" x14ac:dyDescent="0.55000000000000004">
      <c r="A269" s="6" t="s">
        <v>28</v>
      </c>
      <c r="B269" s="6">
        <v>10.97</v>
      </c>
      <c r="C269">
        <f t="shared" si="19"/>
        <v>5.5400000000000009</v>
      </c>
      <c r="D269">
        <f t="shared" si="18"/>
        <v>16.399999999999999</v>
      </c>
      <c r="E269">
        <v>10.97</v>
      </c>
      <c r="F269">
        <v>10</v>
      </c>
      <c r="G269" s="8">
        <v>13</v>
      </c>
      <c r="H269" s="8"/>
      <c r="I269" t="s">
        <v>110</v>
      </c>
      <c r="J269" t="s">
        <v>85</v>
      </c>
      <c r="K269" t="s">
        <v>77</v>
      </c>
      <c r="L269">
        <v>5.43</v>
      </c>
      <c r="N269" s="6"/>
    </row>
    <row r="270" spans="1:14" x14ac:dyDescent="0.55000000000000004">
      <c r="A270" s="6" t="s">
        <v>40</v>
      </c>
      <c r="B270" s="6">
        <v>11.25</v>
      </c>
      <c r="C270">
        <f t="shared" si="19"/>
        <v>5.82</v>
      </c>
      <c r="D270">
        <f t="shared" si="18"/>
        <v>16.68</v>
      </c>
      <c r="E270">
        <v>5.82</v>
      </c>
      <c r="F270">
        <v>11</v>
      </c>
      <c r="G270" s="8">
        <v>4</v>
      </c>
      <c r="H270" s="8"/>
      <c r="I270" t="s">
        <v>110</v>
      </c>
      <c r="J270" t="s">
        <v>85</v>
      </c>
      <c r="K270" t="s">
        <v>77</v>
      </c>
      <c r="L270">
        <v>5.43</v>
      </c>
      <c r="N270" s="6"/>
    </row>
    <row r="271" spans="1:14" x14ac:dyDescent="0.55000000000000004">
      <c r="A271" s="6" t="s">
        <v>44</v>
      </c>
      <c r="B271" s="6">
        <v>11.52</v>
      </c>
      <c r="C271">
        <f t="shared" si="19"/>
        <v>6.09</v>
      </c>
      <c r="D271">
        <f t="shared" si="18"/>
        <v>16.95</v>
      </c>
      <c r="E271">
        <v>11.53</v>
      </c>
      <c r="F271">
        <v>12</v>
      </c>
      <c r="G271" s="8">
        <v>14</v>
      </c>
      <c r="H271" s="8"/>
      <c r="I271" t="s">
        <v>110</v>
      </c>
      <c r="J271" t="s">
        <v>85</v>
      </c>
      <c r="K271" t="s">
        <v>77</v>
      </c>
      <c r="L271">
        <v>5.43</v>
      </c>
      <c r="N271" s="6"/>
    </row>
    <row r="272" spans="1:14" x14ac:dyDescent="0.55000000000000004">
      <c r="A272" s="6" t="s">
        <v>45</v>
      </c>
      <c r="B272" s="6">
        <v>12.71</v>
      </c>
      <c r="C272">
        <f t="shared" si="19"/>
        <v>7.2800000000000011</v>
      </c>
      <c r="D272">
        <f t="shared" si="18"/>
        <v>18.14</v>
      </c>
      <c r="E272">
        <v>12.71</v>
      </c>
      <c r="F272">
        <v>13</v>
      </c>
      <c r="G272" s="8">
        <v>16</v>
      </c>
      <c r="H272" s="8"/>
      <c r="I272" t="s">
        <v>110</v>
      </c>
      <c r="J272" t="s">
        <v>85</v>
      </c>
      <c r="K272" t="s">
        <v>77</v>
      </c>
      <c r="L272">
        <v>5.43</v>
      </c>
      <c r="N272" s="6"/>
    </row>
    <row r="273" spans="1:14" x14ac:dyDescent="0.55000000000000004">
      <c r="A273" s="6" t="s">
        <v>48</v>
      </c>
      <c r="B273" s="6">
        <v>13.03</v>
      </c>
      <c r="C273">
        <f t="shared" si="19"/>
        <v>7.6</v>
      </c>
      <c r="D273">
        <f t="shared" si="18"/>
        <v>18.46</v>
      </c>
      <c r="E273">
        <v>18.46</v>
      </c>
      <c r="F273">
        <v>14</v>
      </c>
      <c r="G273" s="8">
        <v>23</v>
      </c>
      <c r="H273" s="8"/>
      <c r="I273" t="s">
        <v>110</v>
      </c>
      <c r="J273" t="s">
        <v>85</v>
      </c>
      <c r="K273" t="s">
        <v>77</v>
      </c>
      <c r="L273">
        <v>5.43</v>
      </c>
      <c r="N273" s="6"/>
    </row>
    <row r="274" spans="1:14" x14ac:dyDescent="0.55000000000000004">
      <c r="A274" s="6" t="s">
        <v>29</v>
      </c>
      <c r="B274" s="6">
        <v>13.18</v>
      </c>
      <c r="C274">
        <f t="shared" si="19"/>
        <v>7.75</v>
      </c>
      <c r="D274">
        <f t="shared" si="18"/>
        <v>18.61</v>
      </c>
      <c r="E274">
        <v>7.75</v>
      </c>
      <c r="F274">
        <v>15</v>
      </c>
      <c r="G274" s="8">
        <v>6</v>
      </c>
      <c r="H274" s="8"/>
      <c r="I274" t="s">
        <v>110</v>
      </c>
      <c r="J274" t="s">
        <v>85</v>
      </c>
      <c r="K274" t="s">
        <v>77</v>
      </c>
      <c r="L274">
        <v>5.43</v>
      </c>
      <c r="N274" s="6"/>
    </row>
    <row r="275" spans="1:14" x14ac:dyDescent="0.55000000000000004">
      <c r="A275" s="6" t="s">
        <v>25</v>
      </c>
      <c r="B275" s="6">
        <v>14.17</v>
      </c>
      <c r="C275">
        <f t="shared" si="19"/>
        <v>8.74</v>
      </c>
      <c r="D275">
        <f t="shared" si="18"/>
        <v>19.600000000000001</v>
      </c>
      <c r="E275">
        <v>8.74</v>
      </c>
      <c r="F275">
        <v>16</v>
      </c>
      <c r="G275" s="8">
        <v>8</v>
      </c>
      <c r="H275" s="8"/>
      <c r="I275" t="s">
        <v>110</v>
      </c>
      <c r="J275" t="s">
        <v>85</v>
      </c>
      <c r="K275" t="s">
        <v>77</v>
      </c>
      <c r="L275">
        <v>5.43</v>
      </c>
      <c r="N275" s="6"/>
    </row>
    <row r="276" spans="1:14" x14ac:dyDescent="0.55000000000000004">
      <c r="A276" s="6" t="s">
        <v>42</v>
      </c>
      <c r="B276" s="6">
        <v>14.29</v>
      </c>
      <c r="C276">
        <f t="shared" si="19"/>
        <v>8.86</v>
      </c>
      <c r="D276">
        <f t="shared" si="18"/>
        <v>19.72</v>
      </c>
      <c r="E276">
        <v>8.86</v>
      </c>
      <c r="F276">
        <v>17</v>
      </c>
      <c r="G276" s="8">
        <v>9</v>
      </c>
      <c r="H276" s="8"/>
      <c r="I276" t="s">
        <v>110</v>
      </c>
      <c r="J276" t="s">
        <v>85</v>
      </c>
      <c r="K276" t="s">
        <v>77</v>
      </c>
      <c r="L276">
        <v>5.43</v>
      </c>
      <c r="N276" s="6"/>
    </row>
    <row r="277" spans="1:14" x14ac:dyDescent="0.55000000000000004">
      <c r="A277" s="6" t="s">
        <v>41</v>
      </c>
      <c r="B277" s="6">
        <v>14.53</v>
      </c>
      <c r="C277">
        <f t="shared" si="19"/>
        <v>9.1</v>
      </c>
      <c r="D277">
        <f t="shared" si="18"/>
        <v>19.96</v>
      </c>
      <c r="E277">
        <v>14.53</v>
      </c>
      <c r="F277">
        <v>18</v>
      </c>
      <c r="G277" s="8">
        <v>17</v>
      </c>
      <c r="H277" s="8"/>
      <c r="I277" t="s">
        <v>110</v>
      </c>
      <c r="J277" t="s">
        <v>85</v>
      </c>
      <c r="K277" t="s">
        <v>77</v>
      </c>
      <c r="L277">
        <v>5.43</v>
      </c>
      <c r="N277" s="6"/>
    </row>
    <row r="278" spans="1:14" x14ac:dyDescent="0.55000000000000004">
      <c r="A278" s="6" t="s">
        <v>47</v>
      </c>
      <c r="B278" s="6">
        <v>14.84</v>
      </c>
      <c r="C278">
        <f t="shared" si="19"/>
        <v>9.41</v>
      </c>
      <c r="D278">
        <f t="shared" si="18"/>
        <v>20.27</v>
      </c>
      <c r="E278">
        <v>14.84</v>
      </c>
      <c r="F278">
        <v>19</v>
      </c>
      <c r="G278" s="8">
        <v>19</v>
      </c>
      <c r="H278" s="8"/>
      <c r="I278" t="s">
        <v>110</v>
      </c>
      <c r="J278" t="s">
        <v>85</v>
      </c>
      <c r="K278" t="s">
        <v>77</v>
      </c>
      <c r="L278">
        <v>5.43</v>
      </c>
      <c r="N278" s="6"/>
    </row>
    <row r="279" spans="1:14" x14ac:dyDescent="0.55000000000000004">
      <c r="A279" s="6" t="s">
        <v>31</v>
      </c>
      <c r="B279" s="6">
        <v>15.58</v>
      </c>
      <c r="C279">
        <f t="shared" si="19"/>
        <v>10.15</v>
      </c>
      <c r="D279">
        <f t="shared" si="18"/>
        <v>21.009999999999998</v>
      </c>
      <c r="E279">
        <v>15.58</v>
      </c>
      <c r="F279">
        <v>20</v>
      </c>
      <c r="G279" s="8">
        <v>20</v>
      </c>
      <c r="H279" s="8"/>
      <c r="I279" t="s">
        <v>110</v>
      </c>
      <c r="J279" t="s">
        <v>85</v>
      </c>
      <c r="K279" t="s">
        <v>77</v>
      </c>
      <c r="L279">
        <v>5.43</v>
      </c>
      <c r="N279" s="6"/>
    </row>
    <row r="280" spans="1:14" x14ac:dyDescent="0.55000000000000004">
      <c r="A280" s="6" t="s">
        <v>30</v>
      </c>
      <c r="B280" s="6">
        <v>15.82</v>
      </c>
      <c r="C280">
        <f t="shared" si="19"/>
        <v>10.39</v>
      </c>
      <c r="D280">
        <f t="shared" si="18"/>
        <v>21.25</v>
      </c>
      <c r="E280">
        <v>15.82</v>
      </c>
      <c r="F280">
        <v>21</v>
      </c>
      <c r="G280" s="8">
        <v>21</v>
      </c>
      <c r="H280" s="8"/>
      <c r="I280" t="s">
        <v>110</v>
      </c>
      <c r="J280" t="s">
        <v>85</v>
      </c>
      <c r="K280" t="s">
        <v>77</v>
      </c>
      <c r="L280">
        <v>5.43</v>
      </c>
      <c r="N280" s="6"/>
    </row>
    <row r="281" spans="1:14" x14ac:dyDescent="0.55000000000000004">
      <c r="A281" s="6" t="s">
        <v>43</v>
      </c>
      <c r="B281" s="6">
        <v>16.52</v>
      </c>
      <c r="C281">
        <f t="shared" si="19"/>
        <v>11.09</v>
      </c>
      <c r="D281">
        <f t="shared" si="18"/>
        <v>21.95</v>
      </c>
      <c r="E281">
        <v>21.95</v>
      </c>
      <c r="F281">
        <v>22</v>
      </c>
      <c r="G281" s="8">
        <v>24</v>
      </c>
      <c r="H281" s="8"/>
      <c r="I281" t="s">
        <v>110</v>
      </c>
      <c r="J281" t="s">
        <v>85</v>
      </c>
      <c r="K281" t="s">
        <v>77</v>
      </c>
      <c r="L281">
        <v>5.43</v>
      </c>
      <c r="N281" s="6"/>
    </row>
    <row r="282" spans="1:14" x14ac:dyDescent="0.55000000000000004">
      <c r="A282" s="6" t="s">
        <v>46</v>
      </c>
      <c r="B282" s="6">
        <v>16.690000000000001</v>
      </c>
      <c r="C282">
        <f t="shared" si="19"/>
        <v>11.260000000000002</v>
      </c>
      <c r="D282">
        <f t="shared" si="18"/>
        <v>22.12</v>
      </c>
      <c r="E282">
        <v>16.690000000000001</v>
      </c>
      <c r="F282">
        <v>23</v>
      </c>
      <c r="G282" s="8">
        <v>22</v>
      </c>
      <c r="H282" s="8"/>
      <c r="I282" t="s">
        <v>110</v>
      </c>
      <c r="J282" t="s">
        <v>85</v>
      </c>
      <c r="K282" t="s">
        <v>77</v>
      </c>
      <c r="L282">
        <v>5.43</v>
      </c>
      <c r="N282" s="6"/>
    </row>
    <row r="283" spans="1:14" x14ac:dyDescent="0.55000000000000004">
      <c r="A283" s="6" t="s">
        <v>26</v>
      </c>
      <c r="B283" s="6">
        <v>16.97</v>
      </c>
      <c r="C283">
        <f t="shared" si="19"/>
        <v>11.54</v>
      </c>
      <c r="D283">
        <f t="shared" si="18"/>
        <v>22.4</v>
      </c>
      <c r="E283">
        <v>11.54</v>
      </c>
      <c r="F283">
        <v>24</v>
      </c>
      <c r="G283" s="8">
        <v>15</v>
      </c>
      <c r="H283" s="8"/>
      <c r="I283" t="s">
        <v>110</v>
      </c>
      <c r="J283" t="s">
        <v>85</v>
      </c>
      <c r="K283" t="s">
        <v>77</v>
      </c>
      <c r="L283">
        <v>5.43</v>
      </c>
      <c r="N283" s="6"/>
    </row>
    <row r="284" spans="1:14" x14ac:dyDescent="0.55000000000000004">
      <c r="A284" s="6" t="s">
        <v>32</v>
      </c>
      <c r="B284" s="6">
        <v>17.149999999999999</v>
      </c>
      <c r="C284">
        <f t="shared" si="19"/>
        <v>11.719999999999999</v>
      </c>
      <c r="D284">
        <f t="shared" si="18"/>
        <v>22.58</v>
      </c>
      <c r="E284">
        <v>22.58</v>
      </c>
      <c r="F284">
        <v>25</v>
      </c>
      <c r="G284" s="8">
        <v>25</v>
      </c>
      <c r="H284" s="8"/>
      <c r="I284" t="s">
        <v>110</v>
      </c>
      <c r="J284" t="s">
        <v>85</v>
      </c>
      <c r="K284" t="s">
        <v>77</v>
      </c>
      <c r="L284">
        <v>5.43</v>
      </c>
      <c r="N284" s="6"/>
    </row>
    <row r="285" spans="1:14" x14ac:dyDescent="0.55000000000000004">
      <c r="G285" s="8"/>
      <c r="H285" s="8"/>
    </row>
    <row r="286" spans="1:14" x14ac:dyDescent="0.55000000000000004">
      <c r="G286" s="8"/>
      <c r="H286" s="8"/>
    </row>
    <row r="287" spans="1:14" x14ac:dyDescent="0.55000000000000004">
      <c r="G287" s="8"/>
      <c r="H287" s="8"/>
    </row>
    <row r="288" spans="1:14" x14ac:dyDescent="0.55000000000000004">
      <c r="G288" s="8"/>
      <c r="H288" s="8"/>
    </row>
    <row r="289" spans="7:8" x14ac:dyDescent="0.55000000000000004">
      <c r="G289" s="8"/>
      <c r="H289" s="8"/>
    </row>
    <row r="290" spans="7:8" x14ac:dyDescent="0.55000000000000004">
      <c r="G290" s="8"/>
      <c r="H290" s="8"/>
    </row>
    <row r="291" spans="7:8" x14ac:dyDescent="0.55000000000000004">
      <c r="G291" s="8"/>
      <c r="H291" s="8"/>
    </row>
    <row r="292" spans="7:8" x14ac:dyDescent="0.55000000000000004">
      <c r="G292" s="8"/>
      <c r="H292" s="8"/>
    </row>
    <row r="293" spans="7:8" x14ac:dyDescent="0.55000000000000004">
      <c r="G293" s="8"/>
      <c r="H293" s="8"/>
    </row>
    <row r="294" spans="7:8" x14ac:dyDescent="0.55000000000000004">
      <c r="G294" s="8"/>
      <c r="H294" s="8"/>
    </row>
    <row r="295" spans="7:8" x14ac:dyDescent="0.55000000000000004">
      <c r="G295" s="8"/>
      <c r="H295" s="8"/>
    </row>
    <row r="296" spans="7:8" x14ac:dyDescent="0.55000000000000004">
      <c r="G296" s="8"/>
      <c r="H296" s="8"/>
    </row>
    <row r="297" spans="7:8" x14ac:dyDescent="0.55000000000000004">
      <c r="G297" s="8"/>
      <c r="H297" s="8"/>
    </row>
    <row r="298" spans="7:8" x14ac:dyDescent="0.55000000000000004">
      <c r="G298" s="8"/>
      <c r="H298" s="8"/>
    </row>
    <row r="299" spans="7:8" x14ac:dyDescent="0.55000000000000004">
      <c r="G299" s="8"/>
      <c r="H299" s="8"/>
    </row>
    <row r="300" spans="7:8" x14ac:dyDescent="0.55000000000000004">
      <c r="G300" s="8"/>
      <c r="H300" s="8"/>
    </row>
    <row r="301" spans="7:8" x14ac:dyDescent="0.55000000000000004">
      <c r="G301" s="8"/>
      <c r="H301" s="8"/>
    </row>
    <row r="302" spans="7:8" x14ac:dyDescent="0.55000000000000004">
      <c r="G302" s="8"/>
      <c r="H302" s="8"/>
    </row>
    <row r="303" spans="7:8" x14ac:dyDescent="0.55000000000000004">
      <c r="G303" s="8"/>
      <c r="H303" s="8"/>
    </row>
    <row r="304" spans="7:8" x14ac:dyDescent="0.55000000000000004">
      <c r="G304" s="8"/>
      <c r="H304" s="8"/>
    </row>
    <row r="305" spans="7:8" x14ac:dyDescent="0.55000000000000004">
      <c r="G305" s="8"/>
      <c r="H305" s="8"/>
    </row>
    <row r="306" spans="7:8" x14ac:dyDescent="0.55000000000000004">
      <c r="G306" s="8"/>
      <c r="H306" s="8"/>
    </row>
    <row r="307" spans="7:8" x14ac:dyDescent="0.55000000000000004">
      <c r="G307" s="8"/>
      <c r="H307" s="8"/>
    </row>
    <row r="308" spans="7:8" x14ac:dyDescent="0.55000000000000004">
      <c r="G308" s="8"/>
      <c r="H308" s="8"/>
    </row>
    <row r="309" spans="7:8" x14ac:dyDescent="0.55000000000000004">
      <c r="G309" s="8"/>
      <c r="H309" s="8"/>
    </row>
    <row r="310" spans="7:8" x14ac:dyDescent="0.55000000000000004">
      <c r="G310" s="8"/>
      <c r="H310" s="8"/>
    </row>
    <row r="311" spans="7:8" x14ac:dyDescent="0.55000000000000004">
      <c r="G311" s="8"/>
      <c r="H311" s="8"/>
    </row>
    <row r="312" spans="7:8" x14ac:dyDescent="0.55000000000000004">
      <c r="G312" s="8"/>
      <c r="H312" s="8"/>
    </row>
    <row r="313" spans="7:8" x14ac:dyDescent="0.55000000000000004">
      <c r="G313" s="8"/>
      <c r="H313" s="8"/>
    </row>
    <row r="314" spans="7:8" x14ac:dyDescent="0.55000000000000004">
      <c r="G314" s="8"/>
      <c r="H314" s="8"/>
    </row>
    <row r="315" spans="7:8" x14ac:dyDescent="0.55000000000000004">
      <c r="G315" s="8"/>
      <c r="H315" s="8"/>
    </row>
    <row r="316" spans="7:8" x14ac:dyDescent="0.55000000000000004">
      <c r="G316" s="8"/>
      <c r="H316" s="8"/>
    </row>
    <row r="317" spans="7:8" x14ac:dyDescent="0.55000000000000004">
      <c r="G317" s="8"/>
      <c r="H317" s="8"/>
    </row>
    <row r="318" spans="7:8" x14ac:dyDescent="0.55000000000000004">
      <c r="G318" s="8"/>
      <c r="H318" s="8"/>
    </row>
    <row r="319" spans="7:8" x14ac:dyDescent="0.55000000000000004">
      <c r="G319" s="8"/>
      <c r="H319" s="8"/>
    </row>
    <row r="320" spans="7:8" x14ac:dyDescent="0.55000000000000004">
      <c r="G320" s="8"/>
      <c r="H320" s="8"/>
    </row>
    <row r="321" spans="7:8" x14ac:dyDescent="0.55000000000000004">
      <c r="G321" s="8"/>
      <c r="H321" s="8"/>
    </row>
    <row r="322" spans="7:8" x14ac:dyDescent="0.55000000000000004">
      <c r="G322" s="8"/>
      <c r="H322" s="8"/>
    </row>
    <row r="323" spans="7:8" x14ac:dyDescent="0.55000000000000004">
      <c r="G323" s="8"/>
      <c r="H323" s="8"/>
    </row>
    <row r="324" spans="7:8" x14ac:dyDescent="0.55000000000000004">
      <c r="G324" s="8"/>
      <c r="H324" s="8"/>
    </row>
    <row r="325" spans="7:8" x14ac:dyDescent="0.55000000000000004">
      <c r="G325" s="8"/>
      <c r="H325" s="8"/>
    </row>
    <row r="326" spans="7:8" x14ac:dyDescent="0.55000000000000004">
      <c r="G326" s="8"/>
      <c r="H326" s="8"/>
    </row>
    <row r="327" spans="7:8" x14ac:dyDescent="0.55000000000000004">
      <c r="G327" s="8"/>
      <c r="H327" s="8"/>
    </row>
    <row r="328" spans="7:8" x14ac:dyDescent="0.55000000000000004">
      <c r="G328" s="8"/>
      <c r="H328" s="8"/>
    </row>
    <row r="329" spans="7:8" x14ac:dyDescent="0.55000000000000004">
      <c r="G329" s="8"/>
      <c r="H329" s="8"/>
    </row>
    <row r="330" spans="7:8" x14ac:dyDescent="0.55000000000000004">
      <c r="G330" s="8"/>
      <c r="H330" s="8"/>
    </row>
    <row r="331" spans="7:8" x14ac:dyDescent="0.55000000000000004">
      <c r="G331" s="8"/>
      <c r="H331" s="8"/>
    </row>
    <row r="332" spans="7:8" x14ac:dyDescent="0.55000000000000004">
      <c r="G332" s="8"/>
      <c r="H332" s="8"/>
    </row>
    <row r="333" spans="7:8" x14ac:dyDescent="0.55000000000000004">
      <c r="G333" s="8"/>
      <c r="H333" s="8"/>
    </row>
    <row r="334" spans="7:8" x14ac:dyDescent="0.55000000000000004">
      <c r="G334" s="8"/>
      <c r="H334" s="8"/>
    </row>
    <row r="335" spans="7:8" x14ac:dyDescent="0.55000000000000004">
      <c r="G335" s="8"/>
      <c r="H335" s="8"/>
    </row>
    <row r="336" spans="7:8" x14ac:dyDescent="0.55000000000000004">
      <c r="G336" s="8"/>
      <c r="H336" s="8"/>
    </row>
    <row r="337" spans="7:8" x14ac:dyDescent="0.55000000000000004">
      <c r="G337" s="8"/>
      <c r="H337" s="8"/>
    </row>
    <row r="338" spans="7:8" x14ac:dyDescent="0.55000000000000004">
      <c r="G338" s="8"/>
      <c r="H338" s="8"/>
    </row>
    <row r="339" spans="7:8" x14ac:dyDescent="0.55000000000000004">
      <c r="G339" s="8"/>
      <c r="H339" s="8"/>
    </row>
    <row r="340" spans="7:8" x14ac:dyDescent="0.55000000000000004">
      <c r="G340" s="8"/>
      <c r="H340" s="8"/>
    </row>
    <row r="341" spans="7:8" x14ac:dyDescent="0.55000000000000004">
      <c r="G341" s="8"/>
      <c r="H341" s="8"/>
    </row>
    <row r="342" spans="7:8" x14ac:dyDescent="0.55000000000000004">
      <c r="G342" s="8"/>
      <c r="H342" s="8"/>
    </row>
    <row r="343" spans="7:8" x14ac:dyDescent="0.55000000000000004">
      <c r="G343" s="8"/>
      <c r="H343" s="8"/>
    </row>
    <row r="344" spans="7:8" x14ac:dyDescent="0.55000000000000004">
      <c r="G344" s="8"/>
      <c r="H344" s="8"/>
    </row>
    <row r="345" spans="7:8" x14ac:dyDescent="0.55000000000000004">
      <c r="G345" s="8"/>
      <c r="H345" s="8"/>
    </row>
    <row r="346" spans="7:8" x14ac:dyDescent="0.55000000000000004">
      <c r="G346" s="8"/>
      <c r="H346" s="8"/>
    </row>
    <row r="347" spans="7:8" x14ac:dyDescent="0.55000000000000004">
      <c r="G347" s="8"/>
      <c r="H347" s="8"/>
    </row>
    <row r="348" spans="7:8" x14ac:dyDescent="0.55000000000000004">
      <c r="G348" s="8"/>
      <c r="H348" s="8"/>
    </row>
    <row r="349" spans="7:8" x14ac:dyDescent="0.55000000000000004">
      <c r="G349" s="8"/>
      <c r="H349" s="8"/>
    </row>
    <row r="350" spans="7:8" x14ac:dyDescent="0.55000000000000004">
      <c r="G350" s="8"/>
      <c r="H350" s="8"/>
    </row>
    <row r="351" spans="7:8" x14ac:dyDescent="0.55000000000000004">
      <c r="G351" s="8"/>
      <c r="H351" s="8"/>
    </row>
    <row r="352" spans="7:8" x14ac:dyDescent="0.55000000000000004">
      <c r="G352" s="8"/>
      <c r="H352" s="8"/>
    </row>
    <row r="353" spans="7:8" x14ac:dyDescent="0.55000000000000004">
      <c r="G353" s="8"/>
      <c r="H353" s="8"/>
    </row>
    <row r="354" spans="7:8" x14ac:dyDescent="0.55000000000000004">
      <c r="G354" s="8"/>
      <c r="H354" s="8"/>
    </row>
    <row r="355" spans="7:8" x14ac:dyDescent="0.55000000000000004">
      <c r="G355" s="8"/>
      <c r="H355" s="8"/>
    </row>
    <row r="356" spans="7:8" x14ac:dyDescent="0.55000000000000004">
      <c r="H356" s="8"/>
    </row>
    <row r="357" spans="7:8" x14ac:dyDescent="0.55000000000000004">
      <c r="H357" s="8"/>
    </row>
  </sheetData>
  <sortState xmlns:xlrd2="http://schemas.microsoft.com/office/spreadsheetml/2017/richdata2" ref="N260:O284">
    <sortCondition ref="O260:O284"/>
  </sortState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17A43-E97F-43B8-B77B-E77801AA7904}">
  <sheetPr>
    <pageSetUpPr fitToPage="1"/>
  </sheetPr>
  <dimension ref="A1:O309"/>
  <sheetViews>
    <sheetView tabSelected="1" zoomScale="90" zoomScaleNormal="90" workbookViewId="0">
      <pane ySplit="1" topLeftCell="A283" activePane="bottomLeft" state="frozen"/>
      <selection pane="bottomLeft" activeCell="Q306" sqref="Q306"/>
    </sheetView>
  </sheetViews>
  <sheetFormatPr defaultRowHeight="14.4" x14ac:dyDescent="0.55000000000000004"/>
  <cols>
    <col min="1" max="1" width="18.3671875" bestFit="1" customWidth="1"/>
    <col min="2" max="2" width="8.47265625" customWidth="1"/>
    <col min="3" max="3" width="8.05078125" customWidth="1"/>
    <col min="4" max="4" width="8.83984375" customWidth="1"/>
    <col min="5" max="5" width="10.68359375" customWidth="1"/>
    <col min="6" max="6" width="9.47265625" bestFit="1" customWidth="1"/>
    <col min="7" max="7" width="7.89453125" customWidth="1"/>
    <col min="8" max="8" width="10.3125" bestFit="1" customWidth="1"/>
    <col min="9" max="9" width="19.5234375" bestFit="1" customWidth="1"/>
    <col min="10" max="10" width="8.15625" bestFit="1" customWidth="1"/>
    <col min="11" max="11" width="9.26171875" bestFit="1" customWidth="1"/>
    <col min="12" max="12" width="9" bestFit="1" customWidth="1"/>
    <col min="13" max="13" width="5.68359375" bestFit="1" customWidth="1"/>
    <col min="14" max="14" width="17.20703125" bestFit="1" customWidth="1"/>
  </cols>
  <sheetData>
    <row r="1" spans="1:14" x14ac:dyDescent="0.55000000000000004">
      <c r="A1" t="s">
        <v>66</v>
      </c>
      <c r="B1" t="s">
        <v>67</v>
      </c>
      <c r="C1" t="s">
        <v>79</v>
      </c>
      <c r="D1" t="s">
        <v>78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80</v>
      </c>
    </row>
    <row r="2" spans="1:14" x14ac:dyDescent="0.55000000000000004">
      <c r="A2" s="7" t="s">
        <v>39</v>
      </c>
      <c r="B2" s="9">
        <v>6.23</v>
      </c>
      <c r="C2" s="5">
        <f t="shared" ref="C2:C33" si="0">B2-L2</f>
        <v>1.0300000000000002</v>
      </c>
      <c r="D2" s="5">
        <f t="shared" ref="D2:D33" si="1">B2+L2</f>
        <v>11.43</v>
      </c>
      <c r="E2" s="5">
        <v>1.03</v>
      </c>
      <c r="F2">
        <v>1</v>
      </c>
      <c r="G2">
        <v>1</v>
      </c>
      <c r="H2">
        <v>1</v>
      </c>
      <c r="I2" t="s">
        <v>83</v>
      </c>
      <c r="J2" t="s">
        <v>82</v>
      </c>
      <c r="K2" t="s">
        <v>86</v>
      </c>
      <c r="L2" s="5">
        <v>5.2</v>
      </c>
      <c r="N2" s="7"/>
    </row>
    <row r="3" spans="1:14" x14ac:dyDescent="0.55000000000000004">
      <c r="A3" s="7" t="s">
        <v>36</v>
      </c>
      <c r="B3" s="9">
        <v>7.33</v>
      </c>
      <c r="C3" s="5">
        <f t="shared" si="0"/>
        <v>2.13</v>
      </c>
      <c r="D3" s="5">
        <f t="shared" si="1"/>
        <v>12.530000000000001</v>
      </c>
      <c r="E3" s="5">
        <v>2.13</v>
      </c>
      <c r="F3">
        <v>2</v>
      </c>
      <c r="G3">
        <v>2</v>
      </c>
      <c r="H3">
        <v>2</v>
      </c>
      <c r="I3" t="s">
        <v>83</v>
      </c>
      <c r="J3" t="s">
        <v>82</v>
      </c>
      <c r="K3" t="s">
        <v>86</v>
      </c>
      <c r="L3" s="5">
        <v>5.2</v>
      </c>
      <c r="N3" s="7"/>
    </row>
    <row r="4" spans="1:14" x14ac:dyDescent="0.55000000000000004">
      <c r="A4" s="7" t="s">
        <v>25</v>
      </c>
      <c r="B4" s="9">
        <v>8.7899999999999991</v>
      </c>
      <c r="C4" s="5">
        <f t="shared" si="0"/>
        <v>3.589999999999999</v>
      </c>
      <c r="D4" s="5">
        <f t="shared" si="1"/>
        <v>13.989999999999998</v>
      </c>
      <c r="E4" s="5">
        <v>8.7899999999999991</v>
      </c>
      <c r="F4">
        <v>3</v>
      </c>
      <c r="G4">
        <v>11</v>
      </c>
      <c r="H4">
        <v>11</v>
      </c>
      <c r="I4" t="s">
        <v>83</v>
      </c>
      <c r="J4" t="s">
        <v>82</v>
      </c>
      <c r="K4" t="s">
        <v>86</v>
      </c>
      <c r="L4" s="5">
        <v>5.2</v>
      </c>
      <c r="N4" s="7"/>
    </row>
    <row r="5" spans="1:14" x14ac:dyDescent="0.55000000000000004">
      <c r="A5" s="7" t="s">
        <v>38</v>
      </c>
      <c r="B5" s="9">
        <v>8.8000000000000007</v>
      </c>
      <c r="C5" s="5">
        <f t="shared" si="0"/>
        <v>3.6000000000000005</v>
      </c>
      <c r="D5" s="5">
        <f t="shared" si="1"/>
        <v>14</v>
      </c>
      <c r="E5" s="5">
        <v>3.6</v>
      </c>
      <c r="F5">
        <v>4</v>
      </c>
      <c r="G5">
        <v>3</v>
      </c>
      <c r="H5">
        <v>5</v>
      </c>
      <c r="I5" t="s">
        <v>83</v>
      </c>
      <c r="J5" t="s">
        <v>82</v>
      </c>
      <c r="K5" t="s">
        <v>86</v>
      </c>
      <c r="L5" s="5">
        <v>5.2</v>
      </c>
      <c r="N5" s="7"/>
    </row>
    <row r="6" spans="1:14" x14ac:dyDescent="0.55000000000000004">
      <c r="A6" s="7" t="s">
        <v>27</v>
      </c>
      <c r="B6" s="9">
        <v>8.85</v>
      </c>
      <c r="C6" s="5">
        <f t="shared" si="0"/>
        <v>3.6499999999999995</v>
      </c>
      <c r="D6" s="5">
        <f t="shared" si="1"/>
        <v>14.05</v>
      </c>
      <c r="E6" s="5">
        <v>3.65</v>
      </c>
      <c r="F6">
        <v>5</v>
      </c>
      <c r="G6">
        <v>4</v>
      </c>
      <c r="H6">
        <v>23</v>
      </c>
      <c r="I6" t="s">
        <v>83</v>
      </c>
      <c r="J6" t="s">
        <v>82</v>
      </c>
      <c r="K6" t="s">
        <v>86</v>
      </c>
      <c r="L6" s="5">
        <v>5.2</v>
      </c>
      <c r="N6" s="7"/>
    </row>
    <row r="7" spans="1:14" x14ac:dyDescent="0.55000000000000004">
      <c r="A7" s="7" t="s">
        <v>28</v>
      </c>
      <c r="B7" s="9">
        <v>9.3000000000000007</v>
      </c>
      <c r="C7" s="5">
        <f t="shared" si="0"/>
        <v>4.1000000000000005</v>
      </c>
      <c r="D7" s="5">
        <f t="shared" si="1"/>
        <v>14.5</v>
      </c>
      <c r="E7" s="5">
        <v>14.5</v>
      </c>
      <c r="F7">
        <v>6</v>
      </c>
      <c r="G7">
        <v>19</v>
      </c>
      <c r="H7">
        <v>6</v>
      </c>
      <c r="I7" t="s">
        <v>83</v>
      </c>
      <c r="J7" t="s">
        <v>82</v>
      </c>
      <c r="K7" t="s">
        <v>86</v>
      </c>
      <c r="L7" s="5">
        <v>5.2</v>
      </c>
      <c r="N7" s="7"/>
    </row>
    <row r="8" spans="1:14" x14ac:dyDescent="0.55000000000000004">
      <c r="A8" s="7" t="s">
        <v>35</v>
      </c>
      <c r="B8" s="9">
        <v>9.57</v>
      </c>
      <c r="C8" s="5">
        <f t="shared" si="0"/>
        <v>4.37</v>
      </c>
      <c r="D8" s="5">
        <f t="shared" si="1"/>
        <v>14.77</v>
      </c>
      <c r="E8" s="5">
        <v>4.37</v>
      </c>
      <c r="F8">
        <v>7</v>
      </c>
      <c r="G8">
        <v>5</v>
      </c>
      <c r="H8">
        <v>13</v>
      </c>
      <c r="I8" t="s">
        <v>83</v>
      </c>
      <c r="J8" t="s">
        <v>82</v>
      </c>
      <c r="K8" t="s">
        <v>86</v>
      </c>
      <c r="L8" s="5">
        <v>5.2</v>
      </c>
      <c r="N8" s="7"/>
    </row>
    <row r="9" spans="1:14" x14ac:dyDescent="0.55000000000000004">
      <c r="A9" s="7" t="s">
        <v>33</v>
      </c>
      <c r="B9" s="9">
        <v>10.210000000000001</v>
      </c>
      <c r="C9" s="5">
        <f t="shared" si="0"/>
        <v>5.0100000000000007</v>
      </c>
      <c r="D9" s="5">
        <f t="shared" si="1"/>
        <v>15.41</v>
      </c>
      <c r="E9" s="5">
        <v>5.01</v>
      </c>
      <c r="F9">
        <v>8</v>
      </c>
      <c r="G9">
        <v>6</v>
      </c>
      <c r="H9">
        <v>4</v>
      </c>
      <c r="I9" t="s">
        <v>83</v>
      </c>
      <c r="J9" t="s">
        <v>82</v>
      </c>
      <c r="K9" t="s">
        <v>86</v>
      </c>
      <c r="L9" s="5">
        <v>5.2</v>
      </c>
      <c r="N9" s="7"/>
    </row>
    <row r="10" spans="1:14" x14ac:dyDescent="0.55000000000000004">
      <c r="A10" s="7" t="s">
        <v>34</v>
      </c>
      <c r="B10" s="9">
        <v>10.56</v>
      </c>
      <c r="C10" s="5">
        <f t="shared" si="0"/>
        <v>5.36</v>
      </c>
      <c r="D10" s="5">
        <f t="shared" si="1"/>
        <v>15.760000000000002</v>
      </c>
      <c r="E10" s="5">
        <v>5.36</v>
      </c>
      <c r="F10">
        <v>9</v>
      </c>
      <c r="G10">
        <v>7</v>
      </c>
      <c r="H10">
        <v>3</v>
      </c>
      <c r="I10" t="s">
        <v>83</v>
      </c>
      <c r="J10" t="s">
        <v>82</v>
      </c>
      <c r="K10" t="s">
        <v>86</v>
      </c>
      <c r="L10" s="5">
        <v>5.2</v>
      </c>
      <c r="N10" s="7"/>
    </row>
    <row r="11" spans="1:14" x14ac:dyDescent="0.55000000000000004">
      <c r="A11" s="7" t="s">
        <v>48</v>
      </c>
      <c r="B11" s="9">
        <v>10.63</v>
      </c>
      <c r="C11" s="5">
        <f t="shared" si="0"/>
        <v>5.4300000000000006</v>
      </c>
      <c r="D11" s="5">
        <f t="shared" si="1"/>
        <v>15.830000000000002</v>
      </c>
      <c r="E11" s="5">
        <v>10.63</v>
      </c>
      <c r="F11">
        <v>10</v>
      </c>
      <c r="G11">
        <v>12</v>
      </c>
      <c r="H11">
        <v>15</v>
      </c>
      <c r="I11" t="s">
        <v>83</v>
      </c>
      <c r="J11" t="s">
        <v>82</v>
      </c>
      <c r="K11" t="s">
        <v>86</v>
      </c>
      <c r="L11" s="5">
        <v>5.2</v>
      </c>
      <c r="N11" s="7"/>
    </row>
    <row r="12" spans="1:14" x14ac:dyDescent="0.55000000000000004">
      <c r="A12" s="7" t="s">
        <v>40</v>
      </c>
      <c r="B12" s="9">
        <v>10.91</v>
      </c>
      <c r="C12" s="5">
        <f t="shared" si="0"/>
        <v>5.71</v>
      </c>
      <c r="D12" s="5">
        <f t="shared" si="1"/>
        <v>16.11</v>
      </c>
      <c r="E12" s="5">
        <v>5.71</v>
      </c>
      <c r="F12">
        <v>11</v>
      </c>
      <c r="G12">
        <v>8</v>
      </c>
      <c r="H12">
        <v>22</v>
      </c>
      <c r="I12" t="s">
        <v>83</v>
      </c>
      <c r="J12" t="s">
        <v>82</v>
      </c>
      <c r="K12" t="s">
        <v>86</v>
      </c>
      <c r="L12" s="5">
        <v>5.2</v>
      </c>
      <c r="N12" s="7"/>
    </row>
    <row r="13" spans="1:14" x14ac:dyDescent="0.55000000000000004">
      <c r="A13" s="7" t="s">
        <v>44</v>
      </c>
      <c r="B13" s="9">
        <v>10.95</v>
      </c>
      <c r="C13" s="5">
        <f t="shared" si="0"/>
        <v>5.7499999999999991</v>
      </c>
      <c r="D13" s="5">
        <f t="shared" si="1"/>
        <v>16.149999999999999</v>
      </c>
      <c r="E13" s="5">
        <v>10.95</v>
      </c>
      <c r="F13">
        <v>12</v>
      </c>
      <c r="G13">
        <v>13</v>
      </c>
      <c r="H13">
        <v>12</v>
      </c>
      <c r="I13" t="s">
        <v>83</v>
      </c>
      <c r="J13" t="s">
        <v>82</v>
      </c>
      <c r="K13" t="s">
        <v>86</v>
      </c>
      <c r="L13" s="5">
        <v>5.2</v>
      </c>
      <c r="N13" s="7"/>
    </row>
    <row r="14" spans="1:14" x14ac:dyDescent="0.55000000000000004">
      <c r="A14" s="7" t="s">
        <v>32</v>
      </c>
      <c r="B14" s="9">
        <v>11.51</v>
      </c>
      <c r="C14" s="5">
        <f t="shared" si="0"/>
        <v>6.31</v>
      </c>
      <c r="D14" s="5">
        <f t="shared" si="1"/>
        <v>16.71</v>
      </c>
      <c r="E14" s="5">
        <v>11.51</v>
      </c>
      <c r="F14">
        <v>13</v>
      </c>
      <c r="G14">
        <v>14</v>
      </c>
      <c r="H14">
        <v>10</v>
      </c>
      <c r="I14" t="s">
        <v>83</v>
      </c>
      <c r="J14" t="s">
        <v>82</v>
      </c>
      <c r="K14" t="s">
        <v>86</v>
      </c>
      <c r="L14" s="5">
        <v>5.2</v>
      </c>
      <c r="N14" s="7"/>
    </row>
    <row r="15" spans="1:14" x14ac:dyDescent="0.55000000000000004">
      <c r="A15" s="7" t="s">
        <v>37</v>
      </c>
      <c r="B15" s="9">
        <v>11.97</v>
      </c>
      <c r="C15" s="5">
        <f t="shared" si="0"/>
        <v>6.7700000000000005</v>
      </c>
      <c r="D15" s="5">
        <f t="shared" si="1"/>
        <v>17.170000000000002</v>
      </c>
      <c r="E15" s="5">
        <v>6.77</v>
      </c>
      <c r="F15">
        <v>14</v>
      </c>
      <c r="G15">
        <v>9</v>
      </c>
      <c r="H15">
        <v>7</v>
      </c>
      <c r="I15" t="s">
        <v>83</v>
      </c>
      <c r="J15" t="s">
        <v>82</v>
      </c>
      <c r="K15" t="s">
        <v>86</v>
      </c>
      <c r="L15" s="5">
        <v>5.2</v>
      </c>
      <c r="N15" s="7"/>
    </row>
    <row r="16" spans="1:14" x14ac:dyDescent="0.55000000000000004">
      <c r="A16" s="7" t="s">
        <v>41</v>
      </c>
      <c r="B16" s="9">
        <v>12.74</v>
      </c>
      <c r="C16" s="5">
        <f t="shared" si="0"/>
        <v>7.54</v>
      </c>
      <c r="D16" s="5">
        <f t="shared" si="1"/>
        <v>17.940000000000001</v>
      </c>
      <c r="E16" s="5">
        <v>12.74</v>
      </c>
      <c r="F16">
        <v>15</v>
      </c>
      <c r="G16">
        <v>15</v>
      </c>
      <c r="H16">
        <v>18</v>
      </c>
      <c r="I16" t="s">
        <v>83</v>
      </c>
      <c r="J16" t="s">
        <v>82</v>
      </c>
      <c r="K16" t="s">
        <v>86</v>
      </c>
      <c r="L16" s="5">
        <v>5.2</v>
      </c>
      <c r="N16" s="7"/>
    </row>
    <row r="17" spans="1:15" x14ac:dyDescent="0.55000000000000004">
      <c r="A17" s="7" t="s">
        <v>31</v>
      </c>
      <c r="B17" s="9">
        <v>12.75</v>
      </c>
      <c r="C17" s="5">
        <f t="shared" si="0"/>
        <v>7.55</v>
      </c>
      <c r="D17" s="5">
        <f t="shared" si="1"/>
        <v>17.95</v>
      </c>
      <c r="E17" s="5">
        <v>7.55</v>
      </c>
      <c r="F17">
        <v>16</v>
      </c>
      <c r="G17">
        <v>10</v>
      </c>
      <c r="H17">
        <v>8</v>
      </c>
      <c r="I17" t="s">
        <v>83</v>
      </c>
      <c r="J17" t="s">
        <v>82</v>
      </c>
      <c r="K17" t="s">
        <v>86</v>
      </c>
      <c r="L17" s="5">
        <v>5.2</v>
      </c>
      <c r="N17" s="7"/>
    </row>
    <row r="18" spans="1:15" x14ac:dyDescent="0.55000000000000004">
      <c r="A18" s="7" t="s">
        <v>30</v>
      </c>
      <c r="B18" s="9">
        <v>12.94</v>
      </c>
      <c r="C18" s="5">
        <f t="shared" si="0"/>
        <v>7.7399999999999993</v>
      </c>
      <c r="D18" s="5">
        <f t="shared" si="1"/>
        <v>18.14</v>
      </c>
      <c r="E18" s="5">
        <v>12.94</v>
      </c>
      <c r="F18">
        <v>17</v>
      </c>
      <c r="G18">
        <v>16</v>
      </c>
      <c r="H18">
        <v>14</v>
      </c>
      <c r="I18" t="s">
        <v>83</v>
      </c>
      <c r="J18" t="s">
        <v>82</v>
      </c>
      <c r="K18" t="s">
        <v>86</v>
      </c>
      <c r="L18" s="5">
        <v>5.2</v>
      </c>
      <c r="N18" s="7"/>
    </row>
    <row r="19" spans="1:15" x14ac:dyDescent="0.55000000000000004">
      <c r="A19" s="7" t="s">
        <v>45</v>
      </c>
      <c r="B19" s="9">
        <v>13.76</v>
      </c>
      <c r="C19" s="5">
        <f t="shared" si="0"/>
        <v>8.5599999999999987</v>
      </c>
      <c r="D19" s="5">
        <f t="shared" si="1"/>
        <v>18.96</v>
      </c>
      <c r="E19" s="5">
        <v>13.76</v>
      </c>
      <c r="F19">
        <v>18</v>
      </c>
      <c r="G19">
        <v>17</v>
      </c>
      <c r="H19">
        <v>16</v>
      </c>
      <c r="I19" t="s">
        <v>83</v>
      </c>
      <c r="J19" t="s">
        <v>82</v>
      </c>
      <c r="K19" t="s">
        <v>86</v>
      </c>
      <c r="L19" s="5">
        <v>5.2</v>
      </c>
      <c r="N19" s="7"/>
    </row>
    <row r="20" spans="1:15" x14ac:dyDescent="0.55000000000000004">
      <c r="A20" s="7" t="s">
        <v>42</v>
      </c>
      <c r="B20" s="9">
        <v>14.13</v>
      </c>
      <c r="C20" s="5">
        <f t="shared" si="0"/>
        <v>8.93</v>
      </c>
      <c r="D20" s="5">
        <f t="shared" si="1"/>
        <v>19.330000000000002</v>
      </c>
      <c r="E20" s="5">
        <v>19.329999999999998</v>
      </c>
      <c r="F20">
        <v>19</v>
      </c>
      <c r="G20">
        <v>23</v>
      </c>
      <c r="H20">
        <v>19</v>
      </c>
      <c r="I20" t="s">
        <v>83</v>
      </c>
      <c r="J20" t="s">
        <v>82</v>
      </c>
      <c r="K20" t="s">
        <v>86</v>
      </c>
      <c r="L20" s="5">
        <v>5.2</v>
      </c>
      <c r="N20" s="7"/>
    </row>
    <row r="21" spans="1:15" x14ac:dyDescent="0.55000000000000004">
      <c r="A21" s="7" t="s">
        <v>29</v>
      </c>
      <c r="B21" s="9">
        <v>14.49</v>
      </c>
      <c r="C21" s="5">
        <f t="shared" si="0"/>
        <v>9.2899999999999991</v>
      </c>
      <c r="D21" s="5">
        <f t="shared" si="1"/>
        <v>19.690000000000001</v>
      </c>
      <c r="E21" s="5">
        <v>14.49</v>
      </c>
      <c r="F21">
        <v>20</v>
      </c>
      <c r="G21">
        <v>18</v>
      </c>
      <c r="H21">
        <v>24</v>
      </c>
      <c r="I21" t="s">
        <v>83</v>
      </c>
      <c r="J21" t="s">
        <v>82</v>
      </c>
      <c r="K21" t="s">
        <v>86</v>
      </c>
      <c r="L21" s="5">
        <v>5.2</v>
      </c>
      <c r="N21" s="7"/>
    </row>
    <row r="22" spans="1:15" x14ac:dyDescent="0.55000000000000004">
      <c r="A22" s="7" t="s">
        <v>49</v>
      </c>
      <c r="B22" s="9">
        <v>14.54</v>
      </c>
      <c r="C22" s="5">
        <f t="shared" si="0"/>
        <v>9.34</v>
      </c>
      <c r="D22" s="5">
        <f t="shared" si="1"/>
        <v>19.739999999999998</v>
      </c>
      <c r="E22" s="5">
        <v>14.54</v>
      </c>
      <c r="F22">
        <v>21</v>
      </c>
      <c r="G22">
        <v>20</v>
      </c>
      <c r="H22">
        <v>9</v>
      </c>
      <c r="I22" t="s">
        <v>83</v>
      </c>
      <c r="J22" t="s">
        <v>82</v>
      </c>
      <c r="K22" t="s">
        <v>86</v>
      </c>
      <c r="L22" s="5">
        <v>5.2</v>
      </c>
      <c r="N22" s="7"/>
    </row>
    <row r="23" spans="1:15" x14ac:dyDescent="0.55000000000000004">
      <c r="A23" s="7" t="s">
        <v>47</v>
      </c>
      <c r="B23" s="9">
        <v>15.99</v>
      </c>
      <c r="C23" s="5">
        <f t="shared" si="0"/>
        <v>10.79</v>
      </c>
      <c r="D23" s="5">
        <f t="shared" si="1"/>
        <v>21.19</v>
      </c>
      <c r="E23" s="5">
        <v>15.99</v>
      </c>
      <c r="F23">
        <v>22</v>
      </c>
      <c r="G23">
        <v>21</v>
      </c>
      <c r="H23">
        <v>20</v>
      </c>
      <c r="I23" t="s">
        <v>83</v>
      </c>
      <c r="J23" t="s">
        <v>82</v>
      </c>
      <c r="K23" t="s">
        <v>86</v>
      </c>
      <c r="L23" s="5">
        <v>5.2</v>
      </c>
      <c r="N23" s="7"/>
    </row>
    <row r="24" spans="1:15" x14ac:dyDescent="0.55000000000000004">
      <c r="A24" s="7" t="s">
        <v>46</v>
      </c>
      <c r="B24" s="9">
        <v>16.36</v>
      </c>
      <c r="C24" s="5">
        <f t="shared" si="0"/>
        <v>11.16</v>
      </c>
      <c r="D24" s="5">
        <f t="shared" si="1"/>
        <v>21.56</v>
      </c>
      <c r="E24" s="5">
        <v>16.36</v>
      </c>
      <c r="F24">
        <v>23</v>
      </c>
      <c r="G24">
        <v>22</v>
      </c>
      <c r="H24">
        <v>25</v>
      </c>
      <c r="I24" t="s">
        <v>83</v>
      </c>
      <c r="J24" t="s">
        <v>82</v>
      </c>
      <c r="K24" t="s">
        <v>86</v>
      </c>
      <c r="L24" s="5">
        <v>5.2</v>
      </c>
      <c r="N24" s="7"/>
    </row>
    <row r="25" spans="1:15" x14ac:dyDescent="0.55000000000000004">
      <c r="A25" s="7" t="s">
        <v>43</v>
      </c>
      <c r="B25" s="9">
        <v>17.11</v>
      </c>
      <c r="C25" s="5">
        <f t="shared" si="0"/>
        <v>11.91</v>
      </c>
      <c r="D25" s="5">
        <f t="shared" si="1"/>
        <v>22.31</v>
      </c>
      <c r="E25" s="5">
        <v>22.31</v>
      </c>
      <c r="F25">
        <v>24</v>
      </c>
      <c r="G25">
        <v>24</v>
      </c>
      <c r="H25">
        <v>21</v>
      </c>
      <c r="I25" t="s">
        <v>83</v>
      </c>
      <c r="J25" t="s">
        <v>82</v>
      </c>
      <c r="K25" t="s">
        <v>86</v>
      </c>
      <c r="L25" s="5">
        <v>5.2</v>
      </c>
      <c r="N25" s="7"/>
    </row>
    <row r="26" spans="1:15" x14ac:dyDescent="0.55000000000000004">
      <c r="A26" s="7" t="s">
        <v>26</v>
      </c>
      <c r="B26" s="9">
        <v>17.440000000000001</v>
      </c>
      <c r="C26" s="5">
        <f t="shared" si="0"/>
        <v>12.240000000000002</v>
      </c>
      <c r="D26" s="5">
        <f t="shared" si="1"/>
        <v>22.64</v>
      </c>
      <c r="E26" s="5">
        <v>22.64</v>
      </c>
      <c r="F26">
        <v>25</v>
      </c>
      <c r="G26">
        <v>25</v>
      </c>
      <c r="H26">
        <v>17</v>
      </c>
      <c r="I26" t="s">
        <v>83</v>
      </c>
      <c r="J26" t="s">
        <v>82</v>
      </c>
      <c r="K26" t="s">
        <v>86</v>
      </c>
      <c r="L26" s="5">
        <v>5.2</v>
      </c>
      <c r="N26" s="7"/>
    </row>
    <row r="27" spans="1:15" x14ac:dyDescent="0.55000000000000004">
      <c r="A27" s="7" t="s">
        <v>39</v>
      </c>
      <c r="B27" s="5">
        <v>8.4700000000000006</v>
      </c>
      <c r="C27" s="5">
        <f t="shared" si="0"/>
        <v>3.1000000000000005</v>
      </c>
      <c r="D27" s="5">
        <f t="shared" si="1"/>
        <v>13.84</v>
      </c>
      <c r="E27" s="5">
        <v>8.4700000000000006</v>
      </c>
      <c r="F27">
        <v>1</v>
      </c>
      <c r="G27" s="8">
        <v>10</v>
      </c>
      <c r="H27" s="8">
        <v>24</v>
      </c>
      <c r="I27" t="s">
        <v>84</v>
      </c>
      <c r="J27" t="s">
        <v>85</v>
      </c>
      <c r="K27" t="s">
        <v>86</v>
      </c>
      <c r="L27" s="5">
        <v>5.37</v>
      </c>
      <c r="N27" s="7"/>
      <c r="O27" s="5"/>
    </row>
    <row r="28" spans="1:15" x14ac:dyDescent="0.55000000000000004">
      <c r="A28" s="7" t="s">
        <v>36</v>
      </c>
      <c r="B28" s="5">
        <v>8.59</v>
      </c>
      <c r="C28" s="5">
        <f t="shared" si="0"/>
        <v>3.2199999999999998</v>
      </c>
      <c r="D28" s="5">
        <f t="shared" si="1"/>
        <v>13.96</v>
      </c>
      <c r="E28" s="5">
        <v>3.22</v>
      </c>
      <c r="F28">
        <v>2</v>
      </c>
      <c r="G28" s="8">
        <v>1</v>
      </c>
      <c r="H28" s="8">
        <v>8</v>
      </c>
      <c r="I28" t="s">
        <v>84</v>
      </c>
      <c r="J28" t="s">
        <v>85</v>
      </c>
      <c r="K28" t="s">
        <v>86</v>
      </c>
      <c r="L28" s="5">
        <v>5.37</v>
      </c>
      <c r="M28" s="5"/>
      <c r="N28" s="7"/>
      <c r="O28" s="5"/>
    </row>
    <row r="29" spans="1:15" x14ac:dyDescent="0.55000000000000004">
      <c r="A29" s="7" t="s">
        <v>38</v>
      </c>
      <c r="B29" s="5">
        <v>9.01</v>
      </c>
      <c r="C29" s="5">
        <f t="shared" si="0"/>
        <v>3.6399999999999997</v>
      </c>
      <c r="D29" s="5">
        <f t="shared" si="1"/>
        <v>14.379999999999999</v>
      </c>
      <c r="E29" s="5">
        <v>3.64</v>
      </c>
      <c r="F29">
        <v>3</v>
      </c>
      <c r="G29" s="8">
        <v>2</v>
      </c>
      <c r="H29" s="8">
        <v>4</v>
      </c>
      <c r="I29" t="s">
        <v>84</v>
      </c>
      <c r="J29" t="s">
        <v>85</v>
      </c>
      <c r="K29" t="s">
        <v>86</v>
      </c>
      <c r="L29" s="5">
        <v>5.37</v>
      </c>
      <c r="N29" s="7"/>
      <c r="O29" s="5"/>
    </row>
    <row r="30" spans="1:15" x14ac:dyDescent="0.55000000000000004">
      <c r="A30" s="7" t="s">
        <v>37</v>
      </c>
      <c r="B30" s="9">
        <v>9.36</v>
      </c>
      <c r="C30" s="5">
        <f t="shared" si="0"/>
        <v>3.9899999999999993</v>
      </c>
      <c r="D30" s="5">
        <f t="shared" si="1"/>
        <v>14.73</v>
      </c>
      <c r="E30" s="5">
        <v>3.99</v>
      </c>
      <c r="F30">
        <v>4</v>
      </c>
      <c r="G30" s="8">
        <v>3</v>
      </c>
      <c r="H30" s="8">
        <v>1</v>
      </c>
      <c r="I30" t="s">
        <v>84</v>
      </c>
      <c r="J30" t="s">
        <v>85</v>
      </c>
      <c r="K30" t="s">
        <v>86</v>
      </c>
      <c r="L30" s="5">
        <v>5.37</v>
      </c>
      <c r="N30" s="7"/>
      <c r="O30" s="5"/>
    </row>
    <row r="31" spans="1:15" x14ac:dyDescent="0.55000000000000004">
      <c r="A31" s="7" t="s">
        <v>41</v>
      </c>
      <c r="B31" s="9">
        <v>9.6999999999999993</v>
      </c>
      <c r="C31" s="5">
        <f t="shared" si="0"/>
        <v>4.3299999999999992</v>
      </c>
      <c r="D31" s="5">
        <f t="shared" si="1"/>
        <v>15.07</v>
      </c>
      <c r="E31" s="5">
        <v>4.33</v>
      </c>
      <c r="F31">
        <v>5</v>
      </c>
      <c r="G31" s="8">
        <v>4</v>
      </c>
      <c r="H31" s="8">
        <v>9</v>
      </c>
      <c r="I31" t="s">
        <v>84</v>
      </c>
      <c r="J31" t="s">
        <v>85</v>
      </c>
      <c r="K31" t="s">
        <v>86</v>
      </c>
      <c r="L31" s="5">
        <v>5.37</v>
      </c>
      <c r="N31" s="7"/>
      <c r="O31" s="5"/>
    </row>
    <row r="32" spans="1:15" x14ac:dyDescent="0.55000000000000004">
      <c r="A32" s="7" t="s">
        <v>27</v>
      </c>
      <c r="B32" s="5">
        <v>9.92</v>
      </c>
      <c r="C32" s="5">
        <f t="shared" si="0"/>
        <v>4.55</v>
      </c>
      <c r="D32" s="5">
        <f t="shared" si="1"/>
        <v>15.29</v>
      </c>
      <c r="E32" s="5">
        <v>4.55</v>
      </c>
      <c r="F32">
        <v>6</v>
      </c>
      <c r="G32" s="8">
        <v>5</v>
      </c>
      <c r="H32" s="8">
        <v>7</v>
      </c>
      <c r="I32" t="s">
        <v>84</v>
      </c>
      <c r="J32" t="s">
        <v>85</v>
      </c>
      <c r="K32" t="s">
        <v>86</v>
      </c>
      <c r="L32" s="5">
        <v>5.37</v>
      </c>
      <c r="N32" s="7"/>
      <c r="O32" s="5"/>
    </row>
    <row r="33" spans="1:15" x14ac:dyDescent="0.55000000000000004">
      <c r="A33" s="7" t="s">
        <v>46</v>
      </c>
      <c r="B33" s="5">
        <v>10.199999999999999</v>
      </c>
      <c r="C33" s="5">
        <f t="shared" si="0"/>
        <v>4.8299999999999992</v>
      </c>
      <c r="D33" s="5">
        <f t="shared" si="1"/>
        <v>15.57</v>
      </c>
      <c r="E33" s="5">
        <v>15.57</v>
      </c>
      <c r="F33">
        <v>7</v>
      </c>
      <c r="G33" s="8">
        <v>18</v>
      </c>
      <c r="H33" s="8">
        <v>18</v>
      </c>
      <c r="I33" t="s">
        <v>84</v>
      </c>
      <c r="J33" t="s">
        <v>85</v>
      </c>
      <c r="K33" t="s">
        <v>86</v>
      </c>
      <c r="L33" s="5">
        <v>5.37</v>
      </c>
      <c r="N33" s="7"/>
      <c r="O33" s="5"/>
    </row>
    <row r="34" spans="1:15" x14ac:dyDescent="0.55000000000000004">
      <c r="A34" s="7" t="s">
        <v>33</v>
      </c>
      <c r="B34" s="5">
        <v>10.42</v>
      </c>
      <c r="C34" s="5">
        <f t="shared" ref="C34:C65" si="2">B34-L34</f>
        <v>5.05</v>
      </c>
      <c r="D34" s="5">
        <f t="shared" ref="D34:D65" si="3">B34+L34</f>
        <v>15.79</v>
      </c>
      <c r="E34" s="5">
        <v>5.05</v>
      </c>
      <c r="F34">
        <v>8</v>
      </c>
      <c r="G34" s="8">
        <v>6</v>
      </c>
      <c r="H34" s="8">
        <v>2</v>
      </c>
      <c r="I34" t="s">
        <v>84</v>
      </c>
      <c r="J34" t="s">
        <v>85</v>
      </c>
      <c r="K34" t="s">
        <v>86</v>
      </c>
      <c r="L34" s="5">
        <v>5.37</v>
      </c>
      <c r="N34" s="7"/>
      <c r="O34" s="5"/>
    </row>
    <row r="35" spans="1:15" x14ac:dyDescent="0.55000000000000004">
      <c r="A35" s="7" t="s">
        <v>35</v>
      </c>
      <c r="B35" s="9">
        <v>10.57</v>
      </c>
      <c r="C35" s="5">
        <f t="shared" si="2"/>
        <v>5.2</v>
      </c>
      <c r="D35" s="5">
        <f t="shared" si="3"/>
        <v>15.940000000000001</v>
      </c>
      <c r="E35" s="5">
        <v>5.2</v>
      </c>
      <c r="F35">
        <v>9</v>
      </c>
      <c r="G35" s="8">
        <v>7</v>
      </c>
      <c r="H35" s="8">
        <v>3</v>
      </c>
      <c r="I35" t="s">
        <v>84</v>
      </c>
      <c r="J35" t="s">
        <v>85</v>
      </c>
      <c r="K35" t="s">
        <v>86</v>
      </c>
      <c r="L35" s="5">
        <v>5.37</v>
      </c>
      <c r="N35" s="7"/>
      <c r="O35" s="5"/>
    </row>
    <row r="36" spans="1:15" x14ac:dyDescent="0.55000000000000004">
      <c r="A36" s="7" t="s">
        <v>45</v>
      </c>
      <c r="B36" s="5">
        <v>10.92</v>
      </c>
      <c r="C36" s="5">
        <f t="shared" si="2"/>
        <v>5.55</v>
      </c>
      <c r="D36" s="5">
        <f t="shared" si="3"/>
        <v>16.29</v>
      </c>
      <c r="E36" s="5">
        <v>5.55</v>
      </c>
      <c r="F36">
        <v>10</v>
      </c>
      <c r="G36" s="8">
        <v>8</v>
      </c>
      <c r="H36" s="8">
        <v>6</v>
      </c>
      <c r="I36" t="s">
        <v>84</v>
      </c>
      <c r="J36" t="s">
        <v>85</v>
      </c>
      <c r="K36" t="s">
        <v>86</v>
      </c>
      <c r="L36" s="5">
        <v>5.37</v>
      </c>
      <c r="N36" s="7"/>
      <c r="O36" s="5"/>
    </row>
    <row r="37" spans="1:15" x14ac:dyDescent="0.55000000000000004">
      <c r="A37" s="7" t="s">
        <v>28</v>
      </c>
      <c r="B37" s="5">
        <v>11.64</v>
      </c>
      <c r="C37" s="5">
        <f t="shared" si="2"/>
        <v>6.2700000000000005</v>
      </c>
      <c r="D37" s="5">
        <f t="shared" si="3"/>
        <v>17.010000000000002</v>
      </c>
      <c r="E37" s="5">
        <v>17.010000000000002</v>
      </c>
      <c r="F37">
        <v>11</v>
      </c>
      <c r="G37" s="8">
        <v>19</v>
      </c>
      <c r="H37" s="8">
        <v>17</v>
      </c>
      <c r="I37" t="s">
        <v>84</v>
      </c>
      <c r="J37" t="s">
        <v>85</v>
      </c>
      <c r="K37" t="s">
        <v>86</v>
      </c>
      <c r="L37" s="5">
        <v>5.37</v>
      </c>
      <c r="N37" s="7"/>
      <c r="O37" s="5"/>
    </row>
    <row r="38" spans="1:15" x14ac:dyDescent="0.55000000000000004">
      <c r="A38" s="7" t="s">
        <v>40</v>
      </c>
      <c r="B38" s="5">
        <v>11.74</v>
      </c>
      <c r="C38" s="5">
        <f t="shared" si="2"/>
        <v>6.37</v>
      </c>
      <c r="D38" s="5">
        <f t="shared" si="3"/>
        <v>17.11</v>
      </c>
      <c r="E38" s="5">
        <v>11.74</v>
      </c>
      <c r="F38">
        <v>12</v>
      </c>
      <c r="G38" s="8">
        <v>12</v>
      </c>
      <c r="H38" s="8">
        <v>16</v>
      </c>
      <c r="I38" t="s">
        <v>84</v>
      </c>
      <c r="J38" t="s">
        <v>85</v>
      </c>
      <c r="K38" t="s">
        <v>86</v>
      </c>
      <c r="L38" s="5">
        <v>5.37</v>
      </c>
      <c r="N38" s="7"/>
      <c r="O38" s="5"/>
    </row>
    <row r="39" spans="1:15" x14ac:dyDescent="0.55000000000000004">
      <c r="A39" s="7" t="s">
        <v>49</v>
      </c>
      <c r="B39" s="5">
        <v>11.91</v>
      </c>
      <c r="C39" s="5">
        <f t="shared" si="2"/>
        <v>6.54</v>
      </c>
      <c r="D39" s="5">
        <f t="shared" si="3"/>
        <v>17.28</v>
      </c>
      <c r="E39" s="5">
        <v>11.91</v>
      </c>
      <c r="F39">
        <v>13</v>
      </c>
      <c r="G39" s="8">
        <v>13</v>
      </c>
      <c r="H39" s="8">
        <v>22</v>
      </c>
      <c r="I39" t="s">
        <v>84</v>
      </c>
      <c r="J39" t="s">
        <v>85</v>
      </c>
      <c r="K39" t="s">
        <v>86</v>
      </c>
      <c r="L39" s="5">
        <v>5.37</v>
      </c>
      <c r="N39" s="7"/>
      <c r="O39" s="5"/>
    </row>
    <row r="40" spans="1:15" x14ac:dyDescent="0.55000000000000004">
      <c r="A40" s="7" t="s">
        <v>34</v>
      </c>
      <c r="B40" s="5">
        <v>12.23</v>
      </c>
      <c r="C40" s="5">
        <f t="shared" si="2"/>
        <v>6.86</v>
      </c>
      <c r="D40" s="5">
        <f t="shared" si="3"/>
        <v>17.600000000000001</v>
      </c>
      <c r="E40" s="5">
        <v>17.600000000000001</v>
      </c>
      <c r="F40">
        <v>14</v>
      </c>
      <c r="G40" s="8">
        <v>20</v>
      </c>
      <c r="H40" s="8">
        <v>13</v>
      </c>
      <c r="I40" t="s">
        <v>84</v>
      </c>
      <c r="J40" t="s">
        <v>85</v>
      </c>
      <c r="K40" t="s">
        <v>86</v>
      </c>
      <c r="L40" s="5">
        <v>5.37</v>
      </c>
      <c r="N40" s="7"/>
      <c r="O40" s="5"/>
    </row>
    <row r="41" spans="1:15" x14ac:dyDescent="0.55000000000000004">
      <c r="A41" s="7" t="s">
        <v>25</v>
      </c>
      <c r="B41" s="5">
        <v>12.83</v>
      </c>
      <c r="C41" s="5">
        <f t="shared" si="2"/>
        <v>7.46</v>
      </c>
      <c r="D41" s="5">
        <f t="shared" si="3"/>
        <v>18.2</v>
      </c>
      <c r="E41" s="5">
        <v>7.46</v>
      </c>
      <c r="F41">
        <v>15</v>
      </c>
      <c r="G41" s="8">
        <v>9</v>
      </c>
      <c r="H41" s="8">
        <v>5</v>
      </c>
      <c r="I41" t="s">
        <v>84</v>
      </c>
      <c r="J41" t="s">
        <v>85</v>
      </c>
      <c r="K41" t="s">
        <v>86</v>
      </c>
      <c r="L41" s="5">
        <v>5.37</v>
      </c>
      <c r="N41" s="7"/>
      <c r="O41" s="5"/>
    </row>
    <row r="42" spans="1:15" x14ac:dyDescent="0.55000000000000004">
      <c r="A42" s="7" t="s">
        <v>47</v>
      </c>
      <c r="B42" s="5">
        <v>13.29</v>
      </c>
      <c r="C42" s="5">
        <f t="shared" si="2"/>
        <v>7.919999999999999</v>
      </c>
      <c r="D42" s="5">
        <f t="shared" si="3"/>
        <v>18.66</v>
      </c>
      <c r="E42" s="5">
        <v>18.66</v>
      </c>
      <c r="F42">
        <v>16</v>
      </c>
      <c r="G42" s="8">
        <v>21</v>
      </c>
      <c r="H42" s="8">
        <v>20</v>
      </c>
      <c r="I42" t="s">
        <v>84</v>
      </c>
      <c r="J42" t="s">
        <v>85</v>
      </c>
      <c r="K42" t="s">
        <v>86</v>
      </c>
      <c r="L42" s="5">
        <v>5.37</v>
      </c>
      <c r="N42" s="7"/>
      <c r="O42" s="5"/>
    </row>
    <row r="43" spans="1:15" x14ac:dyDescent="0.55000000000000004">
      <c r="A43" s="7" t="s">
        <v>44</v>
      </c>
      <c r="B43" s="5">
        <v>13.91</v>
      </c>
      <c r="C43" s="5">
        <f t="shared" si="2"/>
        <v>8.5399999999999991</v>
      </c>
      <c r="D43" s="5">
        <f t="shared" si="3"/>
        <v>19.28</v>
      </c>
      <c r="E43" s="5">
        <v>13.91</v>
      </c>
      <c r="F43">
        <v>17</v>
      </c>
      <c r="G43" s="8">
        <v>14</v>
      </c>
      <c r="H43" s="8">
        <v>12</v>
      </c>
      <c r="I43" t="s">
        <v>84</v>
      </c>
      <c r="J43" t="s">
        <v>85</v>
      </c>
      <c r="K43" t="s">
        <v>86</v>
      </c>
      <c r="L43" s="5">
        <v>5.37</v>
      </c>
      <c r="N43" s="7"/>
      <c r="O43" s="5"/>
    </row>
    <row r="44" spans="1:15" x14ac:dyDescent="0.55000000000000004">
      <c r="A44" s="7" t="s">
        <v>29</v>
      </c>
      <c r="B44" s="5">
        <v>14.26</v>
      </c>
      <c r="C44" s="5">
        <f t="shared" si="2"/>
        <v>8.89</v>
      </c>
      <c r="D44" s="5">
        <f t="shared" si="3"/>
        <v>19.63</v>
      </c>
      <c r="E44" s="5">
        <v>14.26</v>
      </c>
      <c r="F44">
        <v>18</v>
      </c>
      <c r="G44" s="8">
        <v>15</v>
      </c>
      <c r="H44" s="8">
        <v>11</v>
      </c>
      <c r="I44" t="s">
        <v>84</v>
      </c>
      <c r="J44" t="s">
        <v>85</v>
      </c>
      <c r="K44" t="s">
        <v>86</v>
      </c>
      <c r="L44" s="5">
        <v>5.37</v>
      </c>
      <c r="N44" s="7"/>
      <c r="O44" s="5"/>
    </row>
    <row r="45" spans="1:15" x14ac:dyDescent="0.55000000000000004">
      <c r="A45" s="7" t="s">
        <v>32</v>
      </c>
      <c r="B45" s="5">
        <v>14.5</v>
      </c>
      <c r="C45" s="5">
        <f t="shared" si="2"/>
        <v>9.129999999999999</v>
      </c>
      <c r="D45" s="5">
        <f t="shared" si="3"/>
        <v>19.87</v>
      </c>
      <c r="E45" s="5">
        <v>19.87</v>
      </c>
      <c r="F45">
        <v>19</v>
      </c>
      <c r="G45" s="8">
        <v>22</v>
      </c>
      <c r="H45" s="8">
        <v>15</v>
      </c>
      <c r="I45" t="s">
        <v>84</v>
      </c>
      <c r="J45" t="s">
        <v>85</v>
      </c>
      <c r="K45" t="s">
        <v>86</v>
      </c>
      <c r="L45" s="5">
        <v>5.37</v>
      </c>
      <c r="N45" s="7"/>
      <c r="O45" s="5"/>
    </row>
    <row r="46" spans="1:15" x14ac:dyDescent="0.55000000000000004">
      <c r="A46" s="7" t="s">
        <v>26</v>
      </c>
      <c r="B46" s="5">
        <v>14.76</v>
      </c>
      <c r="C46" s="5">
        <f t="shared" si="2"/>
        <v>9.39</v>
      </c>
      <c r="D46" s="5">
        <f t="shared" si="3"/>
        <v>20.13</v>
      </c>
      <c r="E46" s="5">
        <v>20.13</v>
      </c>
      <c r="F46">
        <v>20</v>
      </c>
      <c r="G46" s="8">
        <v>13</v>
      </c>
      <c r="H46" s="8">
        <v>19</v>
      </c>
      <c r="I46" t="s">
        <v>84</v>
      </c>
      <c r="J46" t="s">
        <v>85</v>
      </c>
      <c r="K46" t="s">
        <v>86</v>
      </c>
      <c r="L46" s="5">
        <v>5.37</v>
      </c>
      <c r="N46" s="7"/>
      <c r="O46" s="5"/>
    </row>
    <row r="47" spans="1:15" x14ac:dyDescent="0.55000000000000004">
      <c r="A47" s="7" t="s">
        <v>31</v>
      </c>
      <c r="B47" s="5">
        <v>14.91</v>
      </c>
      <c r="C47" s="5">
        <f t="shared" si="2"/>
        <v>9.5399999999999991</v>
      </c>
      <c r="D47" s="5">
        <f t="shared" si="3"/>
        <v>20.28</v>
      </c>
      <c r="E47" s="5">
        <v>14.91</v>
      </c>
      <c r="F47">
        <v>21</v>
      </c>
      <c r="G47" s="8">
        <v>16</v>
      </c>
      <c r="H47" s="8">
        <v>25</v>
      </c>
      <c r="I47" t="s">
        <v>84</v>
      </c>
      <c r="J47" t="s">
        <v>85</v>
      </c>
      <c r="K47" t="s">
        <v>86</v>
      </c>
      <c r="L47" s="5">
        <v>5.37</v>
      </c>
      <c r="N47" s="7"/>
      <c r="O47" s="5"/>
    </row>
    <row r="48" spans="1:15" x14ac:dyDescent="0.55000000000000004">
      <c r="A48" s="7" t="s">
        <v>43</v>
      </c>
      <c r="B48" s="5">
        <v>14.93</v>
      </c>
      <c r="C48" s="5">
        <f t="shared" si="2"/>
        <v>9.5599999999999987</v>
      </c>
      <c r="D48" s="5">
        <f t="shared" si="3"/>
        <v>20.3</v>
      </c>
      <c r="E48" s="5">
        <v>20.3</v>
      </c>
      <c r="F48">
        <v>22</v>
      </c>
      <c r="G48" s="8">
        <v>24</v>
      </c>
      <c r="H48" s="8">
        <v>21</v>
      </c>
      <c r="I48" t="s">
        <v>84</v>
      </c>
      <c r="J48" t="s">
        <v>85</v>
      </c>
      <c r="K48" t="s">
        <v>86</v>
      </c>
      <c r="L48" s="5">
        <v>5.37</v>
      </c>
      <c r="N48" s="7"/>
      <c r="O48" s="5"/>
    </row>
    <row r="49" spans="1:15" x14ac:dyDescent="0.55000000000000004">
      <c r="A49" s="7" t="s">
        <v>30</v>
      </c>
      <c r="B49" s="5">
        <v>14.99</v>
      </c>
      <c r="C49" s="5">
        <f t="shared" si="2"/>
        <v>9.620000000000001</v>
      </c>
      <c r="D49" s="5">
        <f t="shared" si="3"/>
        <v>20.36</v>
      </c>
      <c r="E49" s="5">
        <v>14.99</v>
      </c>
      <c r="F49">
        <v>23</v>
      </c>
      <c r="G49" s="8">
        <v>17</v>
      </c>
      <c r="H49" s="8">
        <v>23</v>
      </c>
      <c r="I49" t="s">
        <v>84</v>
      </c>
      <c r="J49" t="s">
        <v>85</v>
      </c>
      <c r="K49" t="s">
        <v>86</v>
      </c>
      <c r="L49" s="5">
        <v>5.37</v>
      </c>
      <c r="N49" s="7"/>
      <c r="O49" s="5"/>
    </row>
    <row r="50" spans="1:15" x14ac:dyDescent="0.55000000000000004">
      <c r="A50" s="7" t="s">
        <v>48</v>
      </c>
      <c r="B50" s="5">
        <v>15.02</v>
      </c>
      <c r="C50" s="5">
        <f t="shared" si="2"/>
        <v>9.6499999999999986</v>
      </c>
      <c r="D50" s="5">
        <f t="shared" si="3"/>
        <v>20.39</v>
      </c>
      <c r="E50" s="5">
        <v>20.39</v>
      </c>
      <c r="F50">
        <v>24</v>
      </c>
      <c r="G50" s="8">
        <v>25</v>
      </c>
      <c r="H50" s="8">
        <v>10</v>
      </c>
      <c r="I50" t="s">
        <v>84</v>
      </c>
      <c r="J50" t="s">
        <v>85</v>
      </c>
      <c r="K50" t="s">
        <v>86</v>
      </c>
      <c r="L50" s="5">
        <v>5.37</v>
      </c>
      <c r="N50" s="7"/>
      <c r="O50" s="5"/>
    </row>
    <row r="51" spans="1:15" x14ac:dyDescent="0.55000000000000004">
      <c r="A51" s="7" t="s">
        <v>42</v>
      </c>
      <c r="B51" s="5">
        <v>15.76</v>
      </c>
      <c r="C51" s="5">
        <f t="shared" si="2"/>
        <v>10.39</v>
      </c>
      <c r="D51" s="5">
        <f t="shared" si="3"/>
        <v>21.13</v>
      </c>
      <c r="E51" s="5">
        <v>10.39</v>
      </c>
      <c r="F51">
        <v>25</v>
      </c>
      <c r="G51" s="8">
        <v>11</v>
      </c>
      <c r="H51" s="8">
        <v>14</v>
      </c>
      <c r="I51" t="s">
        <v>84</v>
      </c>
      <c r="J51" t="s">
        <v>85</v>
      </c>
      <c r="K51" t="s">
        <v>86</v>
      </c>
      <c r="L51" s="5">
        <v>5.37</v>
      </c>
      <c r="N51" s="7"/>
      <c r="O51" s="5"/>
    </row>
    <row r="52" spans="1:15" x14ac:dyDescent="0.55000000000000004">
      <c r="A52" t="s">
        <v>38</v>
      </c>
      <c r="B52">
        <v>7.18</v>
      </c>
      <c r="C52" s="5">
        <f t="shared" si="2"/>
        <v>1.8199999999999994</v>
      </c>
      <c r="D52" s="5">
        <f t="shared" si="3"/>
        <v>12.54</v>
      </c>
      <c r="E52" s="5">
        <v>1.82</v>
      </c>
      <c r="F52">
        <v>1</v>
      </c>
      <c r="G52" s="8">
        <v>1</v>
      </c>
      <c r="H52" s="8">
        <v>5</v>
      </c>
      <c r="I52" t="s">
        <v>81</v>
      </c>
      <c r="J52" t="s">
        <v>82</v>
      </c>
      <c r="K52" t="s">
        <v>86</v>
      </c>
      <c r="L52" s="5">
        <v>5.36</v>
      </c>
      <c r="N52" s="7"/>
      <c r="O52" s="5"/>
    </row>
    <row r="53" spans="1:15" x14ac:dyDescent="0.55000000000000004">
      <c r="A53" t="s">
        <v>28</v>
      </c>
      <c r="B53">
        <v>8.57</v>
      </c>
      <c r="C53" s="5">
        <f t="shared" si="2"/>
        <v>3.21</v>
      </c>
      <c r="D53" s="5">
        <f t="shared" si="3"/>
        <v>13.93</v>
      </c>
      <c r="E53" s="5">
        <v>8.57</v>
      </c>
      <c r="F53">
        <v>2</v>
      </c>
      <c r="G53" s="8">
        <v>11</v>
      </c>
      <c r="H53" s="8">
        <v>4</v>
      </c>
      <c r="I53" t="s">
        <v>81</v>
      </c>
      <c r="J53" t="s">
        <v>82</v>
      </c>
      <c r="K53" t="s">
        <v>86</v>
      </c>
      <c r="L53" s="5">
        <v>5.36</v>
      </c>
    </row>
    <row r="54" spans="1:15" x14ac:dyDescent="0.55000000000000004">
      <c r="A54" t="s">
        <v>39</v>
      </c>
      <c r="B54">
        <v>8.65</v>
      </c>
      <c r="C54" s="5">
        <f t="shared" si="2"/>
        <v>3.29</v>
      </c>
      <c r="D54" s="5">
        <f t="shared" si="3"/>
        <v>14.010000000000002</v>
      </c>
      <c r="E54" s="5">
        <v>3.29</v>
      </c>
      <c r="F54">
        <v>3</v>
      </c>
      <c r="G54" s="8">
        <v>2</v>
      </c>
      <c r="H54" s="8">
        <v>2</v>
      </c>
      <c r="I54" t="s">
        <v>81</v>
      </c>
      <c r="J54" t="s">
        <v>82</v>
      </c>
      <c r="K54" t="s">
        <v>86</v>
      </c>
      <c r="L54" s="5">
        <v>5.36</v>
      </c>
    </row>
    <row r="55" spans="1:15" x14ac:dyDescent="0.55000000000000004">
      <c r="A55" t="s">
        <v>44</v>
      </c>
      <c r="B55">
        <v>9.17</v>
      </c>
      <c r="C55" s="5">
        <f t="shared" si="2"/>
        <v>3.8099999999999996</v>
      </c>
      <c r="D55" s="5">
        <f t="shared" si="3"/>
        <v>14.530000000000001</v>
      </c>
      <c r="E55" s="5">
        <v>3.81</v>
      </c>
      <c r="F55">
        <v>4</v>
      </c>
      <c r="G55" s="8">
        <v>3</v>
      </c>
      <c r="H55" s="8"/>
      <c r="I55" t="s">
        <v>81</v>
      </c>
      <c r="J55" t="s">
        <v>82</v>
      </c>
      <c r="K55" t="s">
        <v>86</v>
      </c>
      <c r="L55" s="5">
        <v>5.36</v>
      </c>
    </row>
    <row r="56" spans="1:15" x14ac:dyDescent="0.55000000000000004">
      <c r="A56" t="s">
        <v>40</v>
      </c>
      <c r="B56">
        <v>9.18</v>
      </c>
      <c r="C56" s="5">
        <f t="shared" si="2"/>
        <v>3.8199999999999994</v>
      </c>
      <c r="D56" s="5">
        <f t="shared" si="3"/>
        <v>14.54</v>
      </c>
      <c r="E56" s="5">
        <v>3.82</v>
      </c>
      <c r="F56">
        <v>5</v>
      </c>
      <c r="G56" s="8">
        <v>4</v>
      </c>
      <c r="H56" s="8">
        <v>3</v>
      </c>
      <c r="I56" t="s">
        <v>81</v>
      </c>
      <c r="J56" t="s">
        <v>82</v>
      </c>
      <c r="K56" t="s">
        <v>86</v>
      </c>
      <c r="L56" s="5">
        <v>5.36</v>
      </c>
    </row>
    <row r="57" spans="1:15" x14ac:dyDescent="0.55000000000000004">
      <c r="A57" t="s">
        <v>33</v>
      </c>
      <c r="B57">
        <v>9.31</v>
      </c>
      <c r="C57" s="5">
        <f t="shared" si="2"/>
        <v>3.95</v>
      </c>
      <c r="D57" s="5">
        <f t="shared" si="3"/>
        <v>14.670000000000002</v>
      </c>
      <c r="E57" s="5">
        <v>3.95</v>
      </c>
      <c r="F57">
        <v>6</v>
      </c>
      <c r="G57" s="8">
        <v>5</v>
      </c>
      <c r="H57" s="8">
        <v>1</v>
      </c>
      <c r="I57" t="s">
        <v>81</v>
      </c>
      <c r="J57" t="s">
        <v>82</v>
      </c>
      <c r="K57" t="s">
        <v>86</v>
      </c>
      <c r="L57" s="5">
        <v>5.36</v>
      </c>
    </row>
    <row r="58" spans="1:15" x14ac:dyDescent="0.55000000000000004">
      <c r="A58" t="s">
        <v>37</v>
      </c>
      <c r="B58">
        <v>9.5500000000000007</v>
      </c>
      <c r="C58" s="5">
        <f t="shared" si="2"/>
        <v>4.1900000000000004</v>
      </c>
      <c r="D58" s="5">
        <f t="shared" si="3"/>
        <v>14.91</v>
      </c>
      <c r="E58" s="5">
        <v>4.1900000000000004</v>
      </c>
      <c r="F58">
        <v>7</v>
      </c>
      <c r="G58" s="8">
        <v>6</v>
      </c>
      <c r="H58" s="8">
        <v>15</v>
      </c>
      <c r="I58" t="s">
        <v>81</v>
      </c>
      <c r="J58" t="s">
        <v>82</v>
      </c>
      <c r="K58" t="s">
        <v>86</v>
      </c>
      <c r="L58" s="5">
        <v>5.36</v>
      </c>
    </row>
    <row r="59" spans="1:15" x14ac:dyDescent="0.55000000000000004">
      <c r="A59" t="s">
        <v>27</v>
      </c>
      <c r="B59">
        <v>9.65</v>
      </c>
      <c r="C59" s="5">
        <f t="shared" si="2"/>
        <v>4.29</v>
      </c>
      <c r="D59" s="5">
        <f t="shared" si="3"/>
        <v>15.010000000000002</v>
      </c>
      <c r="E59" s="5">
        <v>4.29</v>
      </c>
      <c r="F59">
        <v>8</v>
      </c>
      <c r="G59" s="8">
        <v>7</v>
      </c>
      <c r="H59" s="8">
        <v>8</v>
      </c>
      <c r="I59" t="s">
        <v>81</v>
      </c>
      <c r="J59" t="s">
        <v>82</v>
      </c>
      <c r="K59" t="s">
        <v>86</v>
      </c>
      <c r="L59" s="5">
        <v>5.36</v>
      </c>
    </row>
    <row r="60" spans="1:15" x14ac:dyDescent="0.55000000000000004">
      <c r="A60" t="s">
        <v>25</v>
      </c>
      <c r="B60">
        <v>10.06</v>
      </c>
      <c r="C60" s="5">
        <f t="shared" si="2"/>
        <v>4.7</v>
      </c>
      <c r="D60" s="5">
        <f t="shared" si="3"/>
        <v>15.420000000000002</v>
      </c>
      <c r="E60" s="5">
        <v>10.06</v>
      </c>
      <c r="F60">
        <v>9</v>
      </c>
      <c r="G60" s="8">
        <v>12</v>
      </c>
      <c r="H60" s="8">
        <v>10</v>
      </c>
      <c r="I60" t="s">
        <v>81</v>
      </c>
      <c r="J60" t="s">
        <v>82</v>
      </c>
      <c r="K60" t="s">
        <v>86</v>
      </c>
      <c r="L60" s="5">
        <v>5.36</v>
      </c>
    </row>
    <row r="61" spans="1:15" x14ac:dyDescent="0.55000000000000004">
      <c r="A61" t="s">
        <v>35</v>
      </c>
      <c r="B61">
        <v>10.72</v>
      </c>
      <c r="C61" s="5">
        <f t="shared" si="2"/>
        <v>5.36</v>
      </c>
      <c r="D61" s="5">
        <f t="shared" si="3"/>
        <v>16.080000000000002</v>
      </c>
      <c r="E61" s="5">
        <v>5.36</v>
      </c>
      <c r="F61">
        <v>10</v>
      </c>
      <c r="G61" s="8">
        <v>8</v>
      </c>
      <c r="H61" s="8">
        <v>6</v>
      </c>
      <c r="I61" t="s">
        <v>81</v>
      </c>
      <c r="J61" t="s">
        <v>82</v>
      </c>
      <c r="K61" t="s">
        <v>86</v>
      </c>
      <c r="L61" s="5">
        <v>5.36</v>
      </c>
    </row>
    <row r="62" spans="1:15" x14ac:dyDescent="0.55000000000000004">
      <c r="A62" t="s">
        <v>34</v>
      </c>
      <c r="B62">
        <v>10.73</v>
      </c>
      <c r="C62" s="5">
        <f t="shared" si="2"/>
        <v>5.37</v>
      </c>
      <c r="D62" s="5">
        <f t="shared" si="3"/>
        <v>16.09</v>
      </c>
      <c r="E62" s="5">
        <v>5.37</v>
      </c>
      <c r="F62">
        <v>11</v>
      </c>
      <c r="G62" s="8">
        <v>9</v>
      </c>
      <c r="H62" s="8">
        <v>7</v>
      </c>
      <c r="I62" t="s">
        <v>81</v>
      </c>
      <c r="J62" t="s">
        <v>82</v>
      </c>
      <c r="K62" t="s">
        <v>86</v>
      </c>
      <c r="L62" s="5">
        <v>5.36</v>
      </c>
    </row>
    <row r="63" spans="1:15" x14ac:dyDescent="0.55000000000000004">
      <c r="A63" t="s">
        <v>45</v>
      </c>
      <c r="B63">
        <v>11.14</v>
      </c>
      <c r="C63" s="5">
        <f t="shared" si="2"/>
        <v>5.78</v>
      </c>
      <c r="D63" s="5">
        <f t="shared" si="3"/>
        <v>16.5</v>
      </c>
      <c r="E63" s="5">
        <v>11.14</v>
      </c>
      <c r="F63">
        <v>12</v>
      </c>
      <c r="G63" s="8">
        <v>13</v>
      </c>
      <c r="H63" s="8">
        <v>9</v>
      </c>
      <c r="I63" t="s">
        <v>81</v>
      </c>
      <c r="J63" t="s">
        <v>82</v>
      </c>
      <c r="K63" t="s">
        <v>86</v>
      </c>
      <c r="L63" s="5">
        <v>5.36</v>
      </c>
    </row>
    <row r="64" spans="1:15" x14ac:dyDescent="0.55000000000000004">
      <c r="A64" t="s">
        <v>36</v>
      </c>
      <c r="B64">
        <v>11.24</v>
      </c>
      <c r="C64" s="5">
        <f t="shared" si="2"/>
        <v>5.88</v>
      </c>
      <c r="D64" s="5">
        <f t="shared" si="3"/>
        <v>16.600000000000001</v>
      </c>
      <c r="E64" s="5">
        <v>11.24</v>
      </c>
      <c r="F64">
        <v>13</v>
      </c>
      <c r="G64" s="8">
        <v>14</v>
      </c>
      <c r="H64" s="8">
        <v>11</v>
      </c>
      <c r="I64" t="s">
        <v>81</v>
      </c>
      <c r="J64" t="s">
        <v>82</v>
      </c>
      <c r="K64" t="s">
        <v>86</v>
      </c>
      <c r="L64" s="5">
        <v>5.36</v>
      </c>
    </row>
    <row r="65" spans="1:15" x14ac:dyDescent="0.55000000000000004">
      <c r="A65" t="s">
        <v>42</v>
      </c>
      <c r="B65">
        <v>12.25</v>
      </c>
      <c r="C65" s="5">
        <f t="shared" si="2"/>
        <v>6.89</v>
      </c>
      <c r="D65" s="5">
        <f t="shared" si="3"/>
        <v>17.61</v>
      </c>
      <c r="E65" s="5">
        <v>17.61</v>
      </c>
      <c r="F65">
        <v>14</v>
      </c>
      <c r="G65" s="8">
        <v>18</v>
      </c>
      <c r="H65" s="8">
        <v>25</v>
      </c>
      <c r="I65" t="s">
        <v>81</v>
      </c>
      <c r="J65" t="s">
        <v>82</v>
      </c>
      <c r="K65" t="s">
        <v>86</v>
      </c>
      <c r="L65" s="5">
        <v>5.36</v>
      </c>
    </row>
    <row r="66" spans="1:15" x14ac:dyDescent="0.55000000000000004">
      <c r="A66" t="s">
        <v>48</v>
      </c>
      <c r="B66">
        <v>12.39</v>
      </c>
      <c r="C66" s="5">
        <f t="shared" ref="C66:C97" si="4">B66-L66</f>
        <v>7.03</v>
      </c>
      <c r="D66" s="5">
        <f t="shared" ref="D66:D101" si="5">B66+L66</f>
        <v>17.75</v>
      </c>
      <c r="E66" s="5">
        <v>7.03</v>
      </c>
      <c r="F66">
        <v>15</v>
      </c>
      <c r="G66" s="8">
        <v>10</v>
      </c>
      <c r="H66" s="8">
        <v>19</v>
      </c>
      <c r="I66" t="s">
        <v>81</v>
      </c>
      <c r="J66" t="s">
        <v>82</v>
      </c>
      <c r="K66" t="s">
        <v>86</v>
      </c>
      <c r="L66" s="5">
        <v>5.36</v>
      </c>
    </row>
    <row r="67" spans="1:15" x14ac:dyDescent="0.55000000000000004">
      <c r="A67" t="s">
        <v>30</v>
      </c>
      <c r="B67">
        <v>13.02</v>
      </c>
      <c r="C67" s="5">
        <f t="shared" si="4"/>
        <v>7.6599999999999993</v>
      </c>
      <c r="D67" s="5">
        <f t="shared" si="5"/>
        <v>18.38</v>
      </c>
      <c r="E67" s="5">
        <v>13.02</v>
      </c>
      <c r="F67">
        <v>16</v>
      </c>
      <c r="G67" s="8">
        <v>15</v>
      </c>
      <c r="H67" s="8">
        <v>13</v>
      </c>
      <c r="I67" t="s">
        <v>81</v>
      </c>
      <c r="J67" t="s">
        <v>82</v>
      </c>
      <c r="K67" t="s">
        <v>86</v>
      </c>
      <c r="L67" s="5">
        <v>5.36</v>
      </c>
    </row>
    <row r="68" spans="1:15" x14ac:dyDescent="0.55000000000000004">
      <c r="A68" t="s">
        <v>31</v>
      </c>
      <c r="B68">
        <v>13.16</v>
      </c>
      <c r="C68" s="5">
        <f t="shared" si="4"/>
        <v>7.8</v>
      </c>
      <c r="D68" s="5">
        <f t="shared" si="5"/>
        <v>18.52</v>
      </c>
      <c r="E68" s="5">
        <v>13.16</v>
      </c>
      <c r="F68">
        <v>17</v>
      </c>
      <c r="G68" s="8">
        <v>16</v>
      </c>
      <c r="H68" s="8">
        <v>23</v>
      </c>
      <c r="I68" t="s">
        <v>81</v>
      </c>
      <c r="J68" t="s">
        <v>82</v>
      </c>
      <c r="K68" t="s">
        <v>86</v>
      </c>
      <c r="L68" s="5">
        <v>5.36</v>
      </c>
    </row>
    <row r="69" spans="1:15" x14ac:dyDescent="0.55000000000000004">
      <c r="A69" t="s">
        <v>41</v>
      </c>
      <c r="B69">
        <v>13.66</v>
      </c>
      <c r="C69" s="5">
        <f t="shared" si="4"/>
        <v>8.3000000000000007</v>
      </c>
      <c r="D69" s="5">
        <f t="shared" si="5"/>
        <v>19.02</v>
      </c>
      <c r="E69" s="5">
        <v>13.66</v>
      </c>
      <c r="F69">
        <v>18</v>
      </c>
      <c r="G69" s="8">
        <v>17</v>
      </c>
      <c r="H69" s="8">
        <v>18</v>
      </c>
      <c r="I69" t="s">
        <v>81</v>
      </c>
      <c r="J69" t="s">
        <v>82</v>
      </c>
      <c r="K69" t="s">
        <v>86</v>
      </c>
      <c r="L69" s="5">
        <v>5.36</v>
      </c>
    </row>
    <row r="70" spans="1:15" x14ac:dyDescent="0.55000000000000004">
      <c r="A70" t="s">
        <v>29</v>
      </c>
      <c r="B70">
        <v>14.2</v>
      </c>
      <c r="C70" s="5">
        <f t="shared" si="4"/>
        <v>8.84</v>
      </c>
      <c r="D70" s="5">
        <f t="shared" si="5"/>
        <v>19.559999999999999</v>
      </c>
      <c r="E70" s="5">
        <v>19.559999999999999</v>
      </c>
      <c r="F70">
        <v>19</v>
      </c>
      <c r="G70" s="8">
        <v>19</v>
      </c>
      <c r="H70" s="8">
        <v>17</v>
      </c>
      <c r="I70" t="s">
        <v>81</v>
      </c>
      <c r="J70" t="s">
        <v>82</v>
      </c>
      <c r="K70" t="s">
        <v>86</v>
      </c>
      <c r="L70" s="5">
        <v>5.36</v>
      </c>
    </row>
    <row r="71" spans="1:15" x14ac:dyDescent="0.55000000000000004">
      <c r="A71" t="s">
        <v>49</v>
      </c>
      <c r="B71">
        <v>14.4</v>
      </c>
      <c r="C71" s="5">
        <f t="shared" si="4"/>
        <v>9.0399999999999991</v>
      </c>
      <c r="D71" s="5">
        <f t="shared" si="5"/>
        <v>19.760000000000002</v>
      </c>
      <c r="E71" s="5">
        <v>19.760000000000002</v>
      </c>
      <c r="F71">
        <v>20</v>
      </c>
      <c r="G71" s="8">
        <v>20</v>
      </c>
      <c r="H71" s="8">
        <v>14</v>
      </c>
      <c r="I71" t="s">
        <v>81</v>
      </c>
      <c r="J71" t="s">
        <v>82</v>
      </c>
      <c r="K71" t="s">
        <v>86</v>
      </c>
      <c r="L71" s="5">
        <v>5.36</v>
      </c>
    </row>
    <row r="72" spans="1:15" x14ac:dyDescent="0.55000000000000004">
      <c r="A72" t="s">
        <v>47</v>
      </c>
      <c r="B72">
        <v>15.16</v>
      </c>
      <c r="C72" s="5">
        <f t="shared" si="4"/>
        <v>9.8000000000000007</v>
      </c>
      <c r="D72" s="5">
        <f t="shared" si="5"/>
        <v>20.52</v>
      </c>
      <c r="E72" s="5">
        <v>20.52</v>
      </c>
      <c r="F72">
        <v>21</v>
      </c>
      <c r="G72" s="8">
        <v>21</v>
      </c>
      <c r="H72" s="8">
        <v>24</v>
      </c>
      <c r="I72" t="s">
        <v>81</v>
      </c>
      <c r="J72" t="s">
        <v>82</v>
      </c>
      <c r="K72" t="s">
        <v>86</v>
      </c>
      <c r="L72" s="5">
        <v>5.36</v>
      </c>
    </row>
    <row r="73" spans="1:15" x14ac:dyDescent="0.55000000000000004">
      <c r="A73" t="s">
        <v>32</v>
      </c>
      <c r="B73">
        <v>15.34</v>
      </c>
      <c r="C73" s="5">
        <f t="shared" si="4"/>
        <v>9.98</v>
      </c>
      <c r="D73" s="5">
        <f t="shared" si="5"/>
        <v>20.7</v>
      </c>
      <c r="E73" s="5">
        <v>20.7</v>
      </c>
      <c r="F73">
        <v>22</v>
      </c>
      <c r="G73" s="8">
        <v>22</v>
      </c>
      <c r="H73" s="8">
        <v>16</v>
      </c>
      <c r="I73" t="s">
        <v>81</v>
      </c>
      <c r="J73" t="s">
        <v>82</v>
      </c>
      <c r="K73" t="s">
        <v>86</v>
      </c>
      <c r="L73" s="5">
        <v>5.36</v>
      </c>
    </row>
    <row r="74" spans="1:15" x14ac:dyDescent="0.55000000000000004">
      <c r="A74" t="s">
        <v>26</v>
      </c>
      <c r="B74">
        <v>15.57</v>
      </c>
      <c r="C74" s="5">
        <f t="shared" si="4"/>
        <v>10.210000000000001</v>
      </c>
      <c r="D74" s="5">
        <f t="shared" si="5"/>
        <v>20.93</v>
      </c>
      <c r="E74" s="5">
        <v>20.93</v>
      </c>
      <c r="F74">
        <v>23</v>
      </c>
      <c r="G74" s="8">
        <v>23</v>
      </c>
      <c r="H74" s="8">
        <v>12</v>
      </c>
      <c r="I74" t="s">
        <v>81</v>
      </c>
      <c r="J74" t="s">
        <v>82</v>
      </c>
      <c r="K74" t="s">
        <v>86</v>
      </c>
      <c r="L74" s="5">
        <v>5.36</v>
      </c>
    </row>
    <row r="75" spans="1:15" x14ac:dyDescent="0.55000000000000004">
      <c r="A75" t="s">
        <v>46</v>
      </c>
      <c r="B75">
        <v>16.53</v>
      </c>
      <c r="C75" s="5">
        <f t="shared" si="4"/>
        <v>11.170000000000002</v>
      </c>
      <c r="D75" s="5">
        <f t="shared" si="5"/>
        <v>21.89</v>
      </c>
      <c r="E75" s="5">
        <v>21.89</v>
      </c>
      <c r="F75">
        <v>24</v>
      </c>
      <c r="G75" s="8">
        <v>24</v>
      </c>
      <c r="H75" s="8">
        <v>22</v>
      </c>
      <c r="I75" t="s">
        <v>81</v>
      </c>
      <c r="J75" t="s">
        <v>82</v>
      </c>
      <c r="K75" t="s">
        <v>86</v>
      </c>
      <c r="L75" s="5">
        <v>5.36</v>
      </c>
    </row>
    <row r="76" spans="1:15" x14ac:dyDescent="0.55000000000000004">
      <c r="A76" t="s">
        <v>43</v>
      </c>
      <c r="B76">
        <v>17.59</v>
      </c>
      <c r="C76" s="5">
        <f t="shared" si="4"/>
        <v>12.23</v>
      </c>
      <c r="D76" s="5">
        <f t="shared" si="5"/>
        <v>22.95</v>
      </c>
      <c r="E76" s="5">
        <v>22.95</v>
      </c>
      <c r="F76">
        <v>25</v>
      </c>
      <c r="G76" s="8">
        <v>25</v>
      </c>
      <c r="H76" s="8">
        <v>21</v>
      </c>
      <c r="I76" t="s">
        <v>81</v>
      </c>
      <c r="J76" t="s">
        <v>82</v>
      </c>
      <c r="K76" t="s">
        <v>86</v>
      </c>
      <c r="L76" s="5">
        <v>5.36</v>
      </c>
    </row>
    <row r="77" spans="1:15" x14ac:dyDescent="0.55000000000000004">
      <c r="A77" s="6" t="s">
        <v>39</v>
      </c>
      <c r="B77" s="6">
        <v>5.63</v>
      </c>
      <c r="C77" s="5">
        <f t="shared" si="4"/>
        <v>0.42999999999999972</v>
      </c>
      <c r="D77" s="5">
        <f t="shared" si="5"/>
        <v>10.83</v>
      </c>
      <c r="E77" s="5">
        <v>0.43</v>
      </c>
      <c r="F77">
        <v>1</v>
      </c>
      <c r="G77" s="8">
        <v>1</v>
      </c>
      <c r="H77" s="8">
        <v>1</v>
      </c>
      <c r="I77" t="s">
        <v>75</v>
      </c>
      <c r="J77" t="s">
        <v>76</v>
      </c>
      <c r="K77" t="s">
        <v>86</v>
      </c>
      <c r="L77" s="5">
        <v>5.2</v>
      </c>
    </row>
    <row r="78" spans="1:15" x14ac:dyDescent="0.55000000000000004">
      <c r="A78" s="6" t="s">
        <v>25</v>
      </c>
      <c r="B78" s="6">
        <v>7.95</v>
      </c>
      <c r="C78" s="5">
        <f t="shared" si="4"/>
        <v>2.75</v>
      </c>
      <c r="D78" s="5">
        <f t="shared" si="5"/>
        <v>13.15</v>
      </c>
      <c r="E78" s="5">
        <v>7.95</v>
      </c>
      <c r="F78">
        <v>2</v>
      </c>
      <c r="G78" s="8">
        <v>8</v>
      </c>
      <c r="H78" s="8">
        <v>6</v>
      </c>
      <c r="I78" t="s">
        <v>75</v>
      </c>
      <c r="J78" t="s">
        <v>76</v>
      </c>
      <c r="K78" t="s">
        <v>86</v>
      </c>
      <c r="L78" s="5">
        <v>5.2</v>
      </c>
      <c r="N78" s="6"/>
      <c r="O78" s="5"/>
    </row>
    <row r="79" spans="1:15" x14ac:dyDescent="0.55000000000000004">
      <c r="A79" s="6" t="s">
        <v>35</v>
      </c>
      <c r="B79" s="6">
        <v>8.39</v>
      </c>
      <c r="C79" s="5">
        <f t="shared" si="4"/>
        <v>3.1900000000000004</v>
      </c>
      <c r="D79" s="5">
        <f t="shared" si="5"/>
        <v>13.59</v>
      </c>
      <c r="E79" s="5">
        <v>3.19</v>
      </c>
      <c r="F79">
        <v>3</v>
      </c>
      <c r="G79" s="8">
        <v>2</v>
      </c>
      <c r="H79" s="8">
        <v>4</v>
      </c>
      <c r="I79" t="s">
        <v>75</v>
      </c>
      <c r="J79" t="s">
        <v>76</v>
      </c>
      <c r="K79" t="s">
        <v>86</v>
      </c>
      <c r="L79" s="5">
        <v>5.2</v>
      </c>
      <c r="N79" s="6"/>
      <c r="O79" s="5"/>
    </row>
    <row r="80" spans="1:15" x14ac:dyDescent="0.55000000000000004">
      <c r="A80" s="6" t="s">
        <v>33</v>
      </c>
      <c r="B80" s="6">
        <v>8.5</v>
      </c>
      <c r="C80" s="5">
        <f t="shared" si="4"/>
        <v>3.3</v>
      </c>
      <c r="D80" s="5">
        <f t="shared" si="5"/>
        <v>13.7</v>
      </c>
      <c r="E80" s="5">
        <v>3.3</v>
      </c>
      <c r="F80">
        <v>4</v>
      </c>
      <c r="G80" s="8">
        <v>3</v>
      </c>
      <c r="H80" s="8">
        <v>5</v>
      </c>
      <c r="I80" t="s">
        <v>75</v>
      </c>
      <c r="J80" t="s">
        <v>76</v>
      </c>
      <c r="K80" t="s">
        <v>86</v>
      </c>
      <c r="L80" s="5">
        <v>5.2</v>
      </c>
      <c r="N80" s="6"/>
      <c r="O80" s="5"/>
    </row>
    <row r="81" spans="1:15" x14ac:dyDescent="0.55000000000000004">
      <c r="A81" s="6" t="s">
        <v>27</v>
      </c>
      <c r="B81" s="6">
        <v>8.82</v>
      </c>
      <c r="C81" s="5">
        <f t="shared" si="4"/>
        <v>3.62</v>
      </c>
      <c r="D81" s="5">
        <f t="shared" si="5"/>
        <v>14.02</v>
      </c>
      <c r="E81" s="5">
        <v>8.82</v>
      </c>
      <c r="F81">
        <v>5</v>
      </c>
      <c r="G81" s="8">
        <v>9</v>
      </c>
      <c r="H81" s="8">
        <v>7</v>
      </c>
      <c r="I81" t="s">
        <v>75</v>
      </c>
      <c r="J81" t="s">
        <v>76</v>
      </c>
      <c r="K81" t="s">
        <v>86</v>
      </c>
      <c r="L81" s="5">
        <v>5.2</v>
      </c>
      <c r="N81" s="6"/>
      <c r="O81" s="5"/>
    </row>
    <row r="82" spans="1:15" x14ac:dyDescent="0.55000000000000004">
      <c r="A82" s="6" t="s">
        <v>34</v>
      </c>
      <c r="B82" s="6">
        <v>9.2100000000000009</v>
      </c>
      <c r="C82" s="5">
        <f t="shared" si="4"/>
        <v>4.0100000000000007</v>
      </c>
      <c r="D82" s="5">
        <f t="shared" si="5"/>
        <v>14.41</v>
      </c>
      <c r="E82" s="5">
        <v>4.01</v>
      </c>
      <c r="F82">
        <v>6</v>
      </c>
      <c r="G82" s="8">
        <v>4</v>
      </c>
      <c r="H82" s="8">
        <v>2</v>
      </c>
      <c r="I82" t="s">
        <v>75</v>
      </c>
      <c r="J82" t="s">
        <v>76</v>
      </c>
      <c r="K82" t="s">
        <v>86</v>
      </c>
      <c r="L82" s="5">
        <v>5.2</v>
      </c>
      <c r="N82" s="6"/>
      <c r="O82" s="5"/>
    </row>
    <row r="83" spans="1:15" x14ac:dyDescent="0.55000000000000004">
      <c r="A83" s="6" t="s">
        <v>41</v>
      </c>
      <c r="B83" s="6">
        <v>9.26</v>
      </c>
      <c r="C83" s="5">
        <f t="shared" si="4"/>
        <v>4.0599999999999996</v>
      </c>
      <c r="D83" s="5">
        <f t="shared" si="5"/>
        <v>14.46</v>
      </c>
      <c r="E83" s="5">
        <v>9.26</v>
      </c>
      <c r="F83">
        <v>7</v>
      </c>
      <c r="G83" s="8">
        <v>10</v>
      </c>
      <c r="H83" s="8">
        <v>3</v>
      </c>
      <c r="I83" t="s">
        <v>75</v>
      </c>
      <c r="J83" t="s">
        <v>76</v>
      </c>
      <c r="K83" t="s">
        <v>86</v>
      </c>
      <c r="L83" s="5">
        <v>5.2</v>
      </c>
      <c r="N83" s="6"/>
      <c r="O83" s="5"/>
    </row>
    <row r="84" spans="1:15" x14ac:dyDescent="0.55000000000000004">
      <c r="A84" s="6" t="s">
        <v>37</v>
      </c>
      <c r="B84" s="6">
        <v>9.27</v>
      </c>
      <c r="C84" s="5">
        <f t="shared" si="4"/>
        <v>4.0699999999999994</v>
      </c>
      <c r="D84" s="5">
        <f t="shared" si="5"/>
        <v>14.469999999999999</v>
      </c>
      <c r="E84" s="5">
        <v>9.27</v>
      </c>
      <c r="F84">
        <v>8</v>
      </c>
      <c r="G84" s="8">
        <v>11</v>
      </c>
      <c r="H84" s="8">
        <v>10</v>
      </c>
      <c r="I84" t="s">
        <v>75</v>
      </c>
      <c r="J84" t="s">
        <v>76</v>
      </c>
      <c r="K84" t="s">
        <v>86</v>
      </c>
      <c r="L84" s="5">
        <v>5.2</v>
      </c>
      <c r="N84" s="6"/>
      <c r="O84" s="5"/>
    </row>
    <row r="85" spans="1:15" x14ac:dyDescent="0.55000000000000004">
      <c r="A85" s="6" t="s">
        <v>36</v>
      </c>
      <c r="B85" s="6">
        <v>9.3000000000000007</v>
      </c>
      <c r="C85" s="5">
        <f t="shared" si="4"/>
        <v>4.1000000000000005</v>
      </c>
      <c r="D85" s="5">
        <f t="shared" si="5"/>
        <v>14.5</v>
      </c>
      <c r="E85" s="5">
        <v>9.3000000000000007</v>
      </c>
      <c r="F85">
        <v>9</v>
      </c>
      <c r="G85" s="8">
        <v>12</v>
      </c>
      <c r="H85" s="8">
        <v>16</v>
      </c>
      <c r="I85" t="s">
        <v>75</v>
      </c>
      <c r="J85" t="s">
        <v>76</v>
      </c>
      <c r="K85" t="s">
        <v>86</v>
      </c>
      <c r="L85" s="5">
        <v>5.2</v>
      </c>
      <c r="N85" s="6"/>
      <c r="O85" s="5"/>
    </row>
    <row r="86" spans="1:15" x14ac:dyDescent="0.55000000000000004">
      <c r="A86" s="6" t="s">
        <v>38</v>
      </c>
      <c r="B86" s="6">
        <v>9.52</v>
      </c>
      <c r="C86" s="5">
        <f t="shared" si="4"/>
        <v>4.3199999999999994</v>
      </c>
      <c r="D86" s="5">
        <f t="shared" si="5"/>
        <v>14.719999999999999</v>
      </c>
      <c r="E86" s="5">
        <v>4.32</v>
      </c>
      <c r="F86">
        <v>10</v>
      </c>
      <c r="G86" s="8">
        <v>5</v>
      </c>
      <c r="H86" s="8">
        <v>17</v>
      </c>
      <c r="I86" t="s">
        <v>75</v>
      </c>
      <c r="J86" t="s">
        <v>76</v>
      </c>
      <c r="K86" t="s">
        <v>86</v>
      </c>
      <c r="L86" s="5">
        <v>5.2</v>
      </c>
      <c r="N86" s="6"/>
      <c r="O86" s="5"/>
    </row>
    <row r="87" spans="1:15" x14ac:dyDescent="0.55000000000000004">
      <c r="A87" s="6" t="s">
        <v>45</v>
      </c>
      <c r="B87" s="6">
        <v>10.9</v>
      </c>
      <c r="C87" s="5">
        <f t="shared" si="4"/>
        <v>5.7</v>
      </c>
      <c r="D87" s="5">
        <f t="shared" si="5"/>
        <v>16.100000000000001</v>
      </c>
      <c r="E87" s="5">
        <v>10.9</v>
      </c>
      <c r="F87">
        <v>11</v>
      </c>
      <c r="G87" s="8">
        <v>13</v>
      </c>
      <c r="H87" s="8">
        <v>11</v>
      </c>
      <c r="I87" t="s">
        <v>75</v>
      </c>
      <c r="J87" t="s">
        <v>76</v>
      </c>
      <c r="K87" t="s">
        <v>86</v>
      </c>
      <c r="L87" s="5">
        <v>5.2</v>
      </c>
      <c r="N87" s="6"/>
      <c r="O87" s="5"/>
    </row>
    <row r="88" spans="1:15" x14ac:dyDescent="0.55000000000000004">
      <c r="A88" s="6" t="s">
        <v>28</v>
      </c>
      <c r="B88" s="6">
        <v>11.44</v>
      </c>
      <c r="C88" s="5">
        <f t="shared" si="4"/>
        <v>6.2399999999999993</v>
      </c>
      <c r="D88" s="5">
        <f t="shared" si="5"/>
        <v>16.64</v>
      </c>
      <c r="E88" s="5">
        <v>11.44</v>
      </c>
      <c r="F88">
        <v>12</v>
      </c>
      <c r="G88" s="8">
        <v>14</v>
      </c>
      <c r="H88" s="8">
        <v>9</v>
      </c>
      <c r="I88" t="s">
        <v>75</v>
      </c>
      <c r="J88" t="s">
        <v>76</v>
      </c>
      <c r="K88" t="s">
        <v>86</v>
      </c>
      <c r="L88" s="5">
        <v>5.2</v>
      </c>
      <c r="N88" s="6"/>
      <c r="O88" s="5"/>
    </row>
    <row r="89" spans="1:15" x14ac:dyDescent="0.55000000000000004">
      <c r="A89" s="6" t="s">
        <v>31</v>
      </c>
      <c r="B89" s="6">
        <v>11.89</v>
      </c>
      <c r="C89" s="5">
        <f t="shared" si="4"/>
        <v>6.69</v>
      </c>
      <c r="D89" s="5">
        <f t="shared" si="5"/>
        <v>17.09</v>
      </c>
      <c r="E89" s="5">
        <v>6.69</v>
      </c>
      <c r="F89">
        <v>13</v>
      </c>
      <c r="G89" s="8">
        <v>6</v>
      </c>
      <c r="H89" s="8">
        <v>15</v>
      </c>
      <c r="I89" t="s">
        <v>75</v>
      </c>
      <c r="J89" t="s">
        <v>76</v>
      </c>
      <c r="K89" t="s">
        <v>86</v>
      </c>
      <c r="L89" s="5">
        <v>5.2</v>
      </c>
      <c r="N89" s="6"/>
      <c r="O89" s="5"/>
    </row>
    <row r="90" spans="1:15" x14ac:dyDescent="0.55000000000000004">
      <c r="A90" s="6" t="s">
        <v>29</v>
      </c>
      <c r="B90" s="6">
        <v>12.26</v>
      </c>
      <c r="C90" s="5">
        <f t="shared" si="4"/>
        <v>7.06</v>
      </c>
      <c r="D90" s="5">
        <f t="shared" si="5"/>
        <v>17.46</v>
      </c>
      <c r="E90" s="5">
        <v>12.26</v>
      </c>
      <c r="F90">
        <v>14</v>
      </c>
      <c r="G90" s="8">
        <v>16</v>
      </c>
      <c r="H90" s="8">
        <v>8</v>
      </c>
      <c r="I90" t="s">
        <v>75</v>
      </c>
      <c r="J90" t="s">
        <v>76</v>
      </c>
      <c r="K90" t="s">
        <v>86</v>
      </c>
      <c r="L90" s="5">
        <v>5.2</v>
      </c>
      <c r="N90" s="6"/>
      <c r="O90" s="5"/>
    </row>
    <row r="91" spans="1:15" x14ac:dyDescent="0.55000000000000004">
      <c r="A91" s="6" t="s">
        <v>40</v>
      </c>
      <c r="B91" s="6">
        <v>12.39</v>
      </c>
      <c r="C91" s="5">
        <f t="shared" si="4"/>
        <v>7.19</v>
      </c>
      <c r="D91" s="5">
        <f t="shared" si="5"/>
        <v>17.59</v>
      </c>
      <c r="E91" s="5">
        <v>7.19</v>
      </c>
      <c r="F91">
        <v>15</v>
      </c>
      <c r="G91" s="8">
        <v>7</v>
      </c>
      <c r="H91" s="8">
        <v>12</v>
      </c>
      <c r="I91" t="s">
        <v>75</v>
      </c>
      <c r="J91" t="s">
        <v>76</v>
      </c>
      <c r="K91" t="s">
        <v>86</v>
      </c>
      <c r="L91" s="5">
        <v>5.2</v>
      </c>
      <c r="N91" s="6"/>
      <c r="O91" s="5"/>
    </row>
    <row r="92" spans="1:15" x14ac:dyDescent="0.55000000000000004">
      <c r="A92" s="6" t="s">
        <v>44</v>
      </c>
      <c r="B92" s="6">
        <v>12.74</v>
      </c>
      <c r="C92" s="5">
        <f t="shared" si="4"/>
        <v>7.54</v>
      </c>
      <c r="D92" s="5">
        <f t="shared" si="5"/>
        <v>17.940000000000001</v>
      </c>
      <c r="E92" s="5">
        <v>12.74</v>
      </c>
      <c r="F92">
        <v>16</v>
      </c>
      <c r="G92" s="8">
        <v>17</v>
      </c>
      <c r="H92" s="8">
        <v>13</v>
      </c>
      <c r="I92" t="s">
        <v>75</v>
      </c>
      <c r="J92" t="s">
        <v>76</v>
      </c>
      <c r="K92" t="s">
        <v>86</v>
      </c>
      <c r="L92" s="5">
        <v>5.2</v>
      </c>
      <c r="N92" s="6"/>
      <c r="O92" s="5"/>
    </row>
    <row r="93" spans="1:15" x14ac:dyDescent="0.55000000000000004">
      <c r="A93" s="6" t="s">
        <v>48</v>
      </c>
      <c r="B93" s="6">
        <v>12.78</v>
      </c>
      <c r="C93" s="5">
        <f t="shared" si="4"/>
        <v>7.5799999999999992</v>
      </c>
      <c r="D93" s="5">
        <f t="shared" si="5"/>
        <v>17.98</v>
      </c>
      <c r="E93" s="5">
        <v>17.98</v>
      </c>
      <c r="F93">
        <v>17</v>
      </c>
      <c r="G93" s="8">
        <v>22</v>
      </c>
      <c r="H93" s="8">
        <v>20</v>
      </c>
      <c r="I93" t="s">
        <v>75</v>
      </c>
      <c r="J93" t="s">
        <v>76</v>
      </c>
      <c r="K93" t="s">
        <v>86</v>
      </c>
      <c r="L93" s="5">
        <v>5.2</v>
      </c>
      <c r="N93" s="6"/>
      <c r="O93" s="5"/>
    </row>
    <row r="94" spans="1:15" x14ac:dyDescent="0.55000000000000004">
      <c r="A94" s="6" t="s">
        <v>49</v>
      </c>
      <c r="B94" s="6">
        <v>13.64</v>
      </c>
      <c r="C94" s="5">
        <f t="shared" si="4"/>
        <v>8.4400000000000013</v>
      </c>
      <c r="D94" s="5">
        <f t="shared" si="5"/>
        <v>18.84</v>
      </c>
      <c r="E94" s="5">
        <v>13.64</v>
      </c>
      <c r="F94">
        <v>18</v>
      </c>
      <c r="G94" s="8">
        <v>18</v>
      </c>
      <c r="H94" s="8">
        <v>14</v>
      </c>
      <c r="I94" t="s">
        <v>75</v>
      </c>
      <c r="J94" t="s">
        <v>76</v>
      </c>
      <c r="K94" t="s">
        <v>86</v>
      </c>
      <c r="L94" s="5">
        <v>5.2</v>
      </c>
      <c r="N94" s="6"/>
      <c r="O94" s="5"/>
    </row>
    <row r="95" spans="1:15" x14ac:dyDescent="0.55000000000000004">
      <c r="A95" s="6" t="s">
        <v>42</v>
      </c>
      <c r="B95" s="6">
        <v>13.75</v>
      </c>
      <c r="C95" s="5">
        <f t="shared" si="4"/>
        <v>8.5500000000000007</v>
      </c>
      <c r="D95" s="5">
        <f t="shared" si="5"/>
        <v>18.95</v>
      </c>
      <c r="E95" s="5">
        <v>18.95</v>
      </c>
      <c r="F95">
        <v>19</v>
      </c>
      <c r="G95" s="8">
        <v>23</v>
      </c>
      <c r="H95" s="8">
        <v>19</v>
      </c>
      <c r="I95" t="s">
        <v>75</v>
      </c>
      <c r="J95" t="s">
        <v>76</v>
      </c>
      <c r="K95" t="s">
        <v>86</v>
      </c>
      <c r="L95" s="5">
        <v>5.2</v>
      </c>
      <c r="N95" s="6"/>
      <c r="O95" s="5"/>
    </row>
    <row r="96" spans="1:15" x14ac:dyDescent="0.55000000000000004">
      <c r="A96" s="6" t="s">
        <v>47</v>
      </c>
      <c r="B96" s="6">
        <v>14.11</v>
      </c>
      <c r="C96" s="5">
        <f t="shared" si="4"/>
        <v>8.91</v>
      </c>
      <c r="D96" s="5">
        <f t="shared" si="5"/>
        <v>19.309999999999999</v>
      </c>
      <c r="E96" s="5">
        <v>19.309999999999999</v>
      </c>
      <c r="F96">
        <v>20</v>
      </c>
      <c r="G96" s="8">
        <v>24</v>
      </c>
      <c r="H96" s="8">
        <v>18</v>
      </c>
      <c r="I96" t="s">
        <v>75</v>
      </c>
      <c r="J96" t="s">
        <v>76</v>
      </c>
      <c r="K96" t="s">
        <v>86</v>
      </c>
      <c r="L96" s="5">
        <v>5.2</v>
      </c>
      <c r="N96" s="6"/>
      <c r="O96" s="5"/>
    </row>
    <row r="97" spans="1:15" x14ac:dyDescent="0.55000000000000004">
      <c r="A97" s="6" t="s">
        <v>30</v>
      </c>
      <c r="B97" s="6">
        <v>15.58</v>
      </c>
      <c r="C97" s="5">
        <f t="shared" si="4"/>
        <v>10.379999999999999</v>
      </c>
      <c r="D97" s="5">
        <f t="shared" si="5"/>
        <v>20.78</v>
      </c>
      <c r="E97" s="5">
        <v>15.58</v>
      </c>
      <c r="F97">
        <v>21</v>
      </c>
      <c r="G97" s="8">
        <v>19</v>
      </c>
      <c r="H97" s="8">
        <v>25</v>
      </c>
      <c r="I97" t="s">
        <v>75</v>
      </c>
      <c r="J97" t="s">
        <v>76</v>
      </c>
      <c r="K97" t="s">
        <v>86</v>
      </c>
      <c r="L97" s="5">
        <v>5.2</v>
      </c>
      <c r="N97" s="6"/>
      <c r="O97" s="5"/>
    </row>
    <row r="98" spans="1:15" x14ac:dyDescent="0.55000000000000004">
      <c r="A98" s="6" t="s">
        <v>46</v>
      </c>
      <c r="B98" s="6">
        <v>16.14</v>
      </c>
      <c r="C98" s="5">
        <f t="shared" ref="C98:C101" si="6">B98-L98</f>
        <v>10.940000000000001</v>
      </c>
      <c r="D98" s="5">
        <f t="shared" si="5"/>
        <v>21.34</v>
      </c>
      <c r="E98" s="5">
        <v>16.14</v>
      </c>
      <c r="F98">
        <v>22</v>
      </c>
      <c r="G98" s="8">
        <v>20</v>
      </c>
      <c r="H98" s="8">
        <v>24</v>
      </c>
      <c r="I98" t="s">
        <v>75</v>
      </c>
      <c r="J98" t="s">
        <v>76</v>
      </c>
      <c r="K98" t="s">
        <v>86</v>
      </c>
      <c r="L98" s="5">
        <v>5.2</v>
      </c>
      <c r="N98" s="6"/>
      <c r="O98" s="5"/>
    </row>
    <row r="99" spans="1:15" x14ac:dyDescent="0.55000000000000004">
      <c r="A99" s="6" t="s">
        <v>32</v>
      </c>
      <c r="B99" s="6">
        <v>16.88</v>
      </c>
      <c r="C99" s="5">
        <f t="shared" si="6"/>
        <v>11.68</v>
      </c>
      <c r="D99" s="5">
        <f t="shared" si="5"/>
        <v>22.08</v>
      </c>
      <c r="E99" s="5">
        <v>16.88</v>
      </c>
      <c r="F99">
        <v>23</v>
      </c>
      <c r="G99" s="8">
        <v>21</v>
      </c>
      <c r="H99" s="8">
        <v>23</v>
      </c>
      <c r="I99" t="s">
        <v>75</v>
      </c>
      <c r="J99" t="s">
        <v>76</v>
      </c>
      <c r="K99" t="s">
        <v>86</v>
      </c>
      <c r="L99" s="5">
        <v>5.2</v>
      </c>
      <c r="N99" s="6"/>
      <c r="O99" s="5"/>
    </row>
    <row r="100" spans="1:15" x14ac:dyDescent="0.55000000000000004">
      <c r="A100" s="6" t="s">
        <v>26</v>
      </c>
      <c r="B100" s="6">
        <v>17.329999999999998</v>
      </c>
      <c r="C100" s="5">
        <f t="shared" si="6"/>
        <v>12.129999999999999</v>
      </c>
      <c r="D100" s="5">
        <f t="shared" si="5"/>
        <v>22.529999999999998</v>
      </c>
      <c r="E100" s="5">
        <v>12.13</v>
      </c>
      <c r="F100">
        <v>24</v>
      </c>
      <c r="G100" s="8">
        <v>15</v>
      </c>
      <c r="H100" s="8">
        <v>21</v>
      </c>
      <c r="I100" t="s">
        <v>75</v>
      </c>
      <c r="J100" t="s">
        <v>76</v>
      </c>
      <c r="K100" t="s">
        <v>86</v>
      </c>
      <c r="L100" s="5">
        <v>5.2</v>
      </c>
      <c r="N100" s="6"/>
      <c r="O100" s="5"/>
    </row>
    <row r="101" spans="1:15" x14ac:dyDescent="0.55000000000000004">
      <c r="A101" s="6" t="s">
        <v>43</v>
      </c>
      <c r="B101" s="6">
        <v>17.54</v>
      </c>
      <c r="C101" s="5">
        <f t="shared" si="6"/>
        <v>12.34</v>
      </c>
      <c r="D101" s="5">
        <f t="shared" si="5"/>
        <v>22.74</v>
      </c>
      <c r="E101" s="5">
        <v>22.74</v>
      </c>
      <c r="F101">
        <v>25</v>
      </c>
      <c r="G101" s="8">
        <v>25</v>
      </c>
      <c r="H101" s="8">
        <v>22</v>
      </c>
      <c r="I101" t="s">
        <v>75</v>
      </c>
      <c r="J101" t="s">
        <v>76</v>
      </c>
      <c r="K101" t="s">
        <v>86</v>
      </c>
      <c r="L101" s="5">
        <v>5.2</v>
      </c>
      <c r="N101" s="6"/>
      <c r="O101" s="5"/>
    </row>
    <row r="102" spans="1:15" x14ac:dyDescent="0.55000000000000004">
      <c r="A102" s="6" t="s">
        <v>39</v>
      </c>
      <c r="B102" s="6">
        <v>6.11</v>
      </c>
      <c r="C102" s="5">
        <f>B102-L102</f>
        <v>0.97000000000000064</v>
      </c>
      <c r="D102" s="5">
        <f>B102+L102</f>
        <v>11.25</v>
      </c>
      <c r="E102" s="5">
        <v>0.97</v>
      </c>
      <c r="F102">
        <v>1</v>
      </c>
      <c r="G102" s="8">
        <v>1</v>
      </c>
      <c r="H102" s="8">
        <v>1</v>
      </c>
      <c r="I102" t="s">
        <v>88</v>
      </c>
      <c r="J102" t="s">
        <v>82</v>
      </c>
      <c r="K102" t="s">
        <v>86</v>
      </c>
      <c r="L102" s="5">
        <v>5.14</v>
      </c>
      <c r="N102" s="6"/>
      <c r="O102" s="5"/>
    </row>
    <row r="103" spans="1:15" x14ac:dyDescent="0.55000000000000004">
      <c r="A103" s="6" t="s">
        <v>27</v>
      </c>
      <c r="B103" s="6">
        <v>6.82</v>
      </c>
      <c r="C103" s="5">
        <f t="shared" ref="C103:C126" si="7">B103-L103</f>
        <v>1.6800000000000006</v>
      </c>
      <c r="D103" s="5">
        <f t="shared" ref="D103:D126" si="8">B103+L103</f>
        <v>11.96</v>
      </c>
      <c r="E103" s="5">
        <v>6.82</v>
      </c>
      <c r="F103">
        <v>2</v>
      </c>
      <c r="G103" s="8">
        <v>7</v>
      </c>
      <c r="H103" s="8">
        <v>3</v>
      </c>
      <c r="I103" t="s">
        <v>88</v>
      </c>
      <c r="J103" t="s">
        <v>82</v>
      </c>
      <c r="K103" t="s">
        <v>86</v>
      </c>
      <c r="L103" s="5">
        <v>5.14</v>
      </c>
      <c r="N103" s="6"/>
      <c r="O103" s="5"/>
    </row>
    <row r="104" spans="1:15" x14ac:dyDescent="0.55000000000000004">
      <c r="A104" s="6" t="s">
        <v>33</v>
      </c>
      <c r="B104" s="6">
        <v>6.93</v>
      </c>
      <c r="C104" s="5">
        <f t="shared" si="7"/>
        <v>1.79</v>
      </c>
      <c r="D104" s="5">
        <f t="shared" si="8"/>
        <v>12.07</v>
      </c>
      <c r="E104" s="5">
        <v>1.79</v>
      </c>
      <c r="F104">
        <v>3</v>
      </c>
      <c r="G104" s="8">
        <v>2</v>
      </c>
      <c r="H104" s="8">
        <v>4</v>
      </c>
      <c r="I104" t="s">
        <v>88</v>
      </c>
      <c r="J104" t="s">
        <v>82</v>
      </c>
      <c r="K104" t="s">
        <v>86</v>
      </c>
      <c r="L104" s="5">
        <v>5.14</v>
      </c>
      <c r="N104" s="6"/>
      <c r="O104" s="5"/>
    </row>
    <row r="105" spans="1:15" x14ac:dyDescent="0.55000000000000004">
      <c r="A105" s="6" t="s">
        <v>38</v>
      </c>
      <c r="B105" s="6">
        <v>7.73</v>
      </c>
      <c r="C105" s="5">
        <f t="shared" si="7"/>
        <v>2.5900000000000007</v>
      </c>
      <c r="D105" s="5">
        <f t="shared" si="8"/>
        <v>12.870000000000001</v>
      </c>
      <c r="E105" s="5">
        <v>2.59</v>
      </c>
      <c r="F105">
        <v>4</v>
      </c>
      <c r="G105" s="8">
        <v>3</v>
      </c>
      <c r="H105" s="8">
        <v>5</v>
      </c>
      <c r="I105" t="s">
        <v>88</v>
      </c>
      <c r="J105" t="s">
        <v>82</v>
      </c>
      <c r="K105" t="s">
        <v>86</v>
      </c>
      <c r="L105" s="5">
        <v>5.14</v>
      </c>
      <c r="N105" s="6"/>
      <c r="O105" s="5"/>
    </row>
    <row r="106" spans="1:15" x14ac:dyDescent="0.55000000000000004">
      <c r="A106" s="6" t="s">
        <v>36</v>
      </c>
      <c r="B106" s="6">
        <v>8.82</v>
      </c>
      <c r="C106" s="5">
        <f t="shared" si="7"/>
        <v>3.6800000000000006</v>
      </c>
      <c r="D106" s="5">
        <f t="shared" si="8"/>
        <v>13.96</v>
      </c>
      <c r="E106" s="5">
        <v>8.82</v>
      </c>
      <c r="F106">
        <v>5</v>
      </c>
      <c r="G106" s="8">
        <v>8</v>
      </c>
      <c r="H106" s="8">
        <v>6</v>
      </c>
      <c r="I106" t="s">
        <v>88</v>
      </c>
      <c r="J106" t="s">
        <v>82</v>
      </c>
      <c r="K106" t="s">
        <v>86</v>
      </c>
      <c r="L106" s="5">
        <v>5.14</v>
      </c>
      <c r="N106" s="6"/>
      <c r="O106" s="5"/>
    </row>
    <row r="107" spans="1:15" x14ac:dyDescent="0.55000000000000004">
      <c r="A107" s="6" t="s">
        <v>40</v>
      </c>
      <c r="B107" s="6">
        <v>8.84</v>
      </c>
      <c r="C107" s="5">
        <f t="shared" si="7"/>
        <v>3.7</v>
      </c>
      <c r="D107" s="5">
        <f t="shared" si="8"/>
        <v>13.98</v>
      </c>
      <c r="E107" s="5">
        <v>8.84</v>
      </c>
      <c r="F107">
        <v>6</v>
      </c>
      <c r="G107" s="8">
        <v>9</v>
      </c>
      <c r="H107" s="8">
        <v>19</v>
      </c>
      <c r="I107" t="s">
        <v>88</v>
      </c>
      <c r="J107" t="s">
        <v>82</v>
      </c>
      <c r="K107" t="s">
        <v>86</v>
      </c>
      <c r="L107" s="5">
        <v>5.14</v>
      </c>
      <c r="N107" s="6"/>
      <c r="O107" s="5"/>
    </row>
    <row r="108" spans="1:15" x14ac:dyDescent="0.55000000000000004">
      <c r="A108" s="6" t="s">
        <v>44</v>
      </c>
      <c r="B108" s="6">
        <v>9.17</v>
      </c>
      <c r="C108" s="5">
        <f t="shared" si="7"/>
        <v>4.03</v>
      </c>
      <c r="D108" s="5">
        <f t="shared" si="8"/>
        <v>14.309999999999999</v>
      </c>
      <c r="E108" s="5">
        <v>4.03</v>
      </c>
      <c r="F108">
        <v>7</v>
      </c>
      <c r="G108" s="8">
        <v>4</v>
      </c>
      <c r="H108" s="8">
        <v>2</v>
      </c>
      <c r="I108" t="s">
        <v>88</v>
      </c>
      <c r="J108" t="s">
        <v>82</v>
      </c>
      <c r="K108" t="s">
        <v>86</v>
      </c>
      <c r="L108" s="5">
        <v>5.14</v>
      </c>
      <c r="N108" s="6"/>
      <c r="O108" s="5"/>
    </row>
    <row r="109" spans="1:15" x14ac:dyDescent="0.55000000000000004">
      <c r="A109" s="6" t="s">
        <v>35</v>
      </c>
      <c r="B109" s="6">
        <v>9.33</v>
      </c>
      <c r="C109" s="5">
        <f t="shared" si="7"/>
        <v>4.1900000000000004</v>
      </c>
      <c r="D109" s="5">
        <f t="shared" si="8"/>
        <v>14.469999999999999</v>
      </c>
      <c r="E109" s="5">
        <v>4.1900000000000004</v>
      </c>
      <c r="F109">
        <v>8</v>
      </c>
      <c r="G109" s="8">
        <v>5</v>
      </c>
      <c r="H109" s="8">
        <v>7</v>
      </c>
      <c r="I109" t="s">
        <v>88</v>
      </c>
      <c r="J109" t="s">
        <v>82</v>
      </c>
      <c r="K109" t="s">
        <v>86</v>
      </c>
      <c r="L109" s="5">
        <v>5.14</v>
      </c>
      <c r="N109" s="6"/>
      <c r="O109" s="5"/>
    </row>
    <row r="110" spans="1:15" x14ac:dyDescent="0.55000000000000004">
      <c r="A110" s="6" t="s">
        <v>37</v>
      </c>
      <c r="B110" s="6">
        <v>10.39</v>
      </c>
      <c r="C110" s="5">
        <f t="shared" si="7"/>
        <v>5.2500000000000009</v>
      </c>
      <c r="D110" s="5">
        <f t="shared" si="8"/>
        <v>15.530000000000001</v>
      </c>
      <c r="E110" s="5">
        <v>10.39</v>
      </c>
      <c r="F110">
        <v>9</v>
      </c>
      <c r="G110" s="8">
        <v>10</v>
      </c>
      <c r="H110" s="8">
        <v>14</v>
      </c>
      <c r="I110" t="s">
        <v>88</v>
      </c>
      <c r="J110" t="s">
        <v>82</v>
      </c>
      <c r="K110" t="s">
        <v>86</v>
      </c>
      <c r="L110" s="5">
        <v>5.14</v>
      </c>
      <c r="N110" s="6"/>
      <c r="O110" s="5"/>
    </row>
    <row r="111" spans="1:15" x14ac:dyDescent="0.55000000000000004">
      <c r="A111" s="6" t="s">
        <v>48</v>
      </c>
      <c r="B111" s="6">
        <v>10.63</v>
      </c>
      <c r="C111" s="5">
        <f t="shared" si="7"/>
        <v>5.4900000000000011</v>
      </c>
      <c r="D111" s="5">
        <f t="shared" si="8"/>
        <v>15.77</v>
      </c>
      <c r="E111" s="5">
        <v>10.63</v>
      </c>
      <c r="F111">
        <v>10</v>
      </c>
      <c r="G111" s="8">
        <v>11</v>
      </c>
      <c r="H111" s="8">
        <v>10</v>
      </c>
      <c r="I111" t="s">
        <v>88</v>
      </c>
      <c r="J111" t="s">
        <v>82</v>
      </c>
      <c r="K111" t="s">
        <v>86</v>
      </c>
      <c r="L111" s="5">
        <v>5.14</v>
      </c>
      <c r="N111" s="6"/>
      <c r="O111" s="5"/>
    </row>
    <row r="112" spans="1:15" x14ac:dyDescent="0.55000000000000004">
      <c r="A112" s="6" t="s">
        <v>34</v>
      </c>
      <c r="B112" s="6">
        <v>10.86</v>
      </c>
      <c r="C112" s="5">
        <f t="shared" si="7"/>
        <v>5.72</v>
      </c>
      <c r="D112" s="5">
        <f t="shared" si="8"/>
        <v>16</v>
      </c>
      <c r="E112" s="5">
        <v>5.72</v>
      </c>
      <c r="F112">
        <v>11</v>
      </c>
      <c r="G112" s="8">
        <v>6</v>
      </c>
      <c r="H112" s="8">
        <v>20</v>
      </c>
      <c r="I112" t="s">
        <v>88</v>
      </c>
      <c r="J112" t="s">
        <v>82</v>
      </c>
      <c r="K112" t="s">
        <v>86</v>
      </c>
      <c r="L112" s="5">
        <v>5.14</v>
      </c>
      <c r="N112" s="6"/>
      <c r="O112" s="5"/>
    </row>
    <row r="113" spans="1:15" x14ac:dyDescent="0.55000000000000004">
      <c r="A113" s="6" t="s">
        <v>25</v>
      </c>
      <c r="B113" s="6">
        <v>11.07</v>
      </c>
      <c r="C113" s="5">
        <f t="shared" si="7"/>
        <v>5.9300000000000006</v>
      </c>
      <c r="D113" s="5">
        <f t="shared" si="8"/>
        <v>16.21</v>
      </c>
      <c r="E113" s="5">
        <v>11.07</v>
      </c>
      <c r="F113">
        <v>12</v>
      </c>
      <c r="G113" s="8">
        <v>13</v>
      </c>
      <c r="H113" s="8">
        <v>24</v>
      </c>
      <c r="I113" t="s">
        <v>88</v>
      </c>
      <c r="J113" t="s">
        <v>82</v>
      </c>
      <c r="K113" t="s">
        <v>86</v>
      </c>
      <c r="L113" s="5">
        <v>5.14</v>
      </c>
      <c r="N113" s="6"/>
      <c r="O113" s="5"/>
    </row>
    <row r="114" spans="1:15" x14ac:dyDescent="0.55000000000000004">
      <c r="A114" s="6" t="s">
        <v>41</v>
      </c>
      <c r="B114" s="6">
        <v>11.64</v>
      </c>
      <c r="C114" s="5">
        <f t="shared" si="7"/>
        <v>6.5000000000000009</v>
      </c>
      <c r="D114" s="5">
        <f t="shared" si="8"/>
        <v>16.78</v>
      </c>
      <c r="E114" s="5">
        <v>11.64</v>
      </c>
      <c r="F114">
        <v>13</v>
      </c>
      <c r="G114" s="8">
        <v>14</v>
      </c>
      <c r="H114" s="8">
        <v>8</v>
      </c>
      <c r="I114" t="s">
        <v>88</v>
      </c>
      <c r="J114" t="s">
        <v>82</v>
      </c>
      <c r="K114" t="s">
        <v>86</v>
      </c>
      <c r="L114" s="5">
        <v>5.14</v>
      </c>
      <c r="N114" s="6"/>
      <c r="O114" s="5"/>
    </row>
    <row r="115" spans="1:15" x14ac:dyDescent="0.55000000000000004">
      <c r="A115" s="6" t="s">
        <v>28</v>
      </c>
      <c r="B115" s="6">
        <v>11.87</v>
      </c>
      <c r="C115" s="5">
        <f t="shared" si="7"/>
        <v>6.7299999999999995</v>
      </c>
      <c r="D115" s="5">
        <f t="shared" si="8"/>
        <v>17.009999999999998</v>
      </c>
      <c r="E115" s="5">
        <v>11.87</v>
      </c>
      <c r="F115">
        <v>14</v>
      </c>
      <c r="G115" s="8">
        <v>15</v>
      </c>
      <c r="H115" s="8">
        <v>25</v>
      </c>
      <c r="I115" t="s">
        <v>88</v>
      </c>
      <c r="J115" t="s">
        <v>82</v>
      </c>
      <c r="K115" t="s">
        <v>86</v>
      </c>
      <c r="L115" s="5">
        <v>5.14</v>
      </c>
      <c r="N115" s="6"/>
      <c r="O115" s="5"/>
    </row>
    <row r="116" spans="1:15" x14ac:dyDescent="0.55000000000000004">
      <c r="A116" s="6" t="s">
        <v>45</v>
      </c>
      <c r="B116" s="6">
        <v>13.32</v>
      </c>
      <c r="C116" s="5">
        <f t="shared" si="7"/>
        <v>8.18</v>
      </c>
      <c r="D116" s="5">
        <f t="shared" si="8"/>
        <v>18.46</v>
      </c>
      <c r="E116" s="5">
        <v>13.32</v>
      </c>
      <c r="F116">
        <v>15</v>
      </c>
      <c r="G116" s="8">
        <v>16</v>
      </c>
      <c r="H116" s="8">
        <v>9</v>
      </c>
      <c r="I116" t="s">
        <v>88</v>
      </c>
      <c r="J116" t="s">
        <v>82</v>
      </c>
      <c r="K116" t="s">
        <v>86</v>
      </c>
      <c r="L116" s="5">
        <v>5.14</v>
      </c>
      <c r="N116" s="6"/>
      <c r="O116" s="5"/>
    </row>
    <row r="117" spans="1:15" x14ac:dyDescent="0.55000000000000004">
      <c r="A117" s="6" t="s">
        <v>49</v>
      </c>
      <c r="B117" s="6">
        <v>13.63</v>
      </c>
      <c r="C117" s="5">
        <f t="shared" si="7"/>
        <v>8.490000000000002</v>
      </c>
      <c r="D117" s="5">
        <f t="shared" si="8"/>
        <v>18.77</v>
      </c>
      <c r="E117" s="5">
        <v>13.63</v>
      </c>
      <c r="F117">
        <v>16</v>
      </c>
      <c r="G117" s="8">
        <v>17</v>
      </c>
      <c r="H117" s="8">
        <v>13</v>
      </c>
      <c r="I117" t="s">
        <v>88</v>
      </c>
      <c r="J117" t="s">
        <v>82</v>
      </c>
      <c r="K117" t="s">
        <v>86</v>
      </c>
      <c r="L117" s="5">
        <v>5.14</v>
      </c>
      <c r="N117" s="6"/>
      <c r="O117" s="5"/>
    </row>
    <row r="118" spans="1:15" x14ac:dyDescent="0.55000000000000004">
      <c r="A118" s="6" t="s">
        <v>42</v>
      </c>
      <c r="B118" s="6">
        <v>14.58</v>
      </c>
      <c r="C118" s="5">
        <f t="shared" si="7"/>
        <v>9.4400000000000013</v>
      </c>
      <c r="D118" s="5">
        <f t="shared" si="8"/>
        <v>19.72</v>
      </c>
      <c r="E118" s="5">
        <v>19.72</v>
      </c>
      <c r="F118">
        <v>17</v>
      </c>
      <c r="G118" s="8">
        <v>23</v>
      </c>
      <c r="H118" s="8">
        <v>15</v>
      </c>
      <c r="I118" t="s">
        <v>88</v>
      </c>
      <c r="J118" t="s">
        <v>82</v>
      </c>
      <c r="K118" t="s">
        <v>86</v>
      </c>
      <c r="L118" s="5">
        <v>5.14</v>
      </c>
      <c r="N118" s="6"/>
      <c r="O118" s="5"/>
    </row>
    <row r="119" spans="1:15" x14ac:dyDescent="0.55000000000000004">
      <c r="A119" s="6" t="s">
        <v>30</v>
      </c>
      <c r="B119" s="6">
        <v>14.64</v>
      </c>
      <c r="C119" s="5">
        <f t="shared" si="7"/>
        <v>9.5</v>
      </c>
      <c r="D119" s="5">
        <f t="shared" si="8"/>
        <v>19.78</v>
      </c>
      <c r="E119" s="5">
        <v>14.64</v>
      </c>
      <c r="F119">
        <v>18</v>
      </c>
      <c r="G119" s="8">
        <v>18</v>
      </c>
      <c r="H119" s="8">
        <v>16</v>
      </c>
      <c r="I119" t="s">
        <v>88</v>
      </c>
      <c r="J119" t="s">
        <v>82</v>
      </c>
      <c r="K119" t="s">
        <v>86</v>
      </c>
      <c r="L119" s="5">
        <v>5.14</v>
      </c>
      <c r="N119" s="6"/>
      <c r="O119" s="5"/>
    </row>
    <row r="120" spans="1:15" x14ac:dyDescent="0.55000000000000004">
      <c r="A120" s="6" t="s">
        <v>32</v>
      </c>
      <c r="B120" s="6">
        <v>15.45</v>
      </c>
      <c r="C120" s="5">
        <f t="shared" si="7"/>
        <v>10.309999999999999</v>
      </c>
      <c r="D120" s="5">
        <f t="shared" si="8"/>
        <v>20.59</v>
      </c>
      <c r="E120" s="5">
        <v>15.45</v>
      </c>
      <c r="F120">
        <v>19</v>
      </c>
      <c r="G120" s="8">
        <v>19</v>
      </c>
      <c r="H120" s="8">
        <v>11</v>
      </c>
      <c r="I120" t="s">
        <v>88</v>
      </c>
      <c r="J120" t="s">
        <v>82</v>
      </c>
      <c r="K120" t="s">
        <v>86</v>
      </c>
      <c r="L120" s="5">
        <v>5.14</v>
      </c>
      <c r="N120" s="6"/>
      <c r="O120" s="5"/>
    </row>
    <row r="121" spans="1:15" x14ac:dyDescent="0.55000000000000004">
      <c r="A121" s="6" t="s">
        <v>29</v>
      </c>
      <c r="B121" s="6">
        <v>15.56</v>
      </c>
      <c r="C121" s="5">
        <f t="shared" si="7"/>
        <v>10.420000000000002</v>
      </c>
      <c r="D121" s="5">
        <f t="shared" si="8"/>
        <v>20.7</v>
      </c>
      <c r="E121" s="5">
        <v>15.56</v>
      </c>
      <c r="F121">
        <v>20</v>
      </c>
      <c r="G121" s="8">
        <v>20</v>
      </c>
      <c r="H121" s="8">
        <v>18</v>
      </c>
      <c r="I121" t="s">
        <v>88</v>
      </c>
      <c r="J121" t="s">
        <v>82</v>
      </c>
      <c r="K121" t="s">
        <v>86</v>
      </c>
      <c r="L121" s="5">
        <v>5.14</v>
      </c>
      <c r="N121" s="6"/>
      <c r="O121" s="5"/>
    </row>
    <row r="122" spans="1:15" x14ac:dyDescent="0.55000000000000004">
      <c r="A122" s="6" t="s">
        <v>26</v>
      </c>
      <c r="B122" s="6">
        <v>15.79</v>
      </c>
      <c r="C122" s="5">
        <f t="shared" si="7"/>
        <v>10.649999999999999</v>
      </c>
      <c r="D122" s="5">
        <f t="shared" si="8"/>
        <v>20.93</v>
      </c>
      <c r="E122" s="5">
        <v>15.79</v>
      </c>
      <c r="F122">
        <v>21</v>
      </c>
      <c r="G122" s="8">
        <v>21</v>
      </c>
      <c r="H122" s="8">
        <v>22</v>
      </c>
      <c r="I122" t="s">
        <v>88</v>
      </c>
      <c r="J122" t="s">
        <v>82</v>
      </c>
      <c r="K122" t="s">
        <v>86</v>
      </c>
      <c r="L122" s="5">
        <v>5.14</v>
      </c>
      <c r="N122" s="6"/>
      <c r="O122" s="5"/>
    </row>
    <row r="123" spans="1:15" x14ac:dyDescent="0.55000000000000004">
      <c r="A123" s="6" t="s">
        <v>31</v>
      </c>
      <c r="B123" s="6">
        <v>15.8</v>
      </c>
      <c r="C123" s="5">
        <f t="shared" si="7"/>
        <v>10.66</v>
      </c>
      <c r="D123" s="5">
        <f t="shared" si="8"/>
        <v>20.94</v>
      </c>
      <c r="E123" s="5">
        <v>10.66</v>
      </c>
      <c r="F123">
        <v>22</v>
      </c>
      <c r="G123" s="8">
        <v>12</v>
      </c>
      <c r="H123" s="8">
        <v>21</v>
      </c>
      <c r="I123" t="s">
        <v>88</v>
      </c>
      <c r="J123" t="s">
        <v>82</v>
      </c>
      <c r="K123" t="s">
        <v>86</v>
      </c>
      <c r="L123" s="5">
        <v>5.14</v>
      </c>
      <c r="N123" s="6"/>
      <c r="O123" s="5"/>
    </row>
    <row r="124" spans="1:15" x14ac:dyDescent="0.55000000000000004">
      <c r="A124" s="6" t="s">
        <v>46</v>
      </c>
      <c r="B124" s="6">
        <v>16.87</v>
      </c>
      <c r="C124" s="5">
        <f t="shared" si="7"/>
        <v>11.73</v>
      </c>
      <c r="D124" s="5">
        <f t="shared" si="8"/>
        <v>22.01</v>
      </c>
      <c r="E124" s="5">
        <v>16.87</v>
      </c>
      <c r="F124">
        <v>23</v>
      </c>
      <c r="G124" s="8">
        <v>22</v>
      </c>
      <c r="H124" s="8">
        <v>17</v>
      </c>
      <c r="I124" t="s">
        <v>88</v>
      </c>
      <c r="J124" t="s">
        <v>82</v>
      </c>
      <c r="K124" t="s">
        <v>86</v>
      </c>
      <c r="L124" s="5">
        <v>5.14</v>
      </c>
      <c r="N124" s="6"/>
      <c r="O124" s="5"/>
    </row>
    <row r="125" spans="1:15" x14ac:dyDescent="0.55000000000000004">
      <c r="A125" s="6" t="s">
        <v>47</v>
      </c>
      <c r="B125" s="6">
        <v>17.54</v>
      </c>
      <c r="C125" s="5">
        <f t="shared" si="7"/>
        <v>12.399999999999999</v>
      </c>
      <c r="D125" s="5">
        <f t="shared" si="8"/>
        <v>22.68</v>
      </c>
      <c r="E125" s="5">
        <v>22.68</v>
      </c>
      <c r="F125">
        <v>24</v>
      </c>
      <c r="G125" s="8">
        <v>24</v>
      </c>
      <c r="H125" s="8">
        <v>12</v>
      </c>
      <c r="I125" t="s">
        <v>88</v>
      </c>
      <c r="J125" t="s">
        <v>82</v>
      </c>
      <c r="K125" t="s">
        <v>86</v>
      </c>
      <c r="L125" s="5">
        <v>5.14</v>
      </c>
      <c r="N125" s="6"/>
      <c r="O125" s="5"/>
    </row>
    <row r="126" spans="1:15" x14ac:dyDescent="0.55000000000000004">
      <c r="A126" s="6" t="s">
        <v>43</v>
      </c>
      <c r="B126" s="6">
        <v>18.579999999999998</v>
      </c>
      <c r="C126" s="5">
        <f t="shared" si="7"/>
        <v>13.439999999999998</v>
      </c>
      <c r="D126" s="5">
        <f t="shared" si="8"/>
        <v>23.72</v>
      </c>
      <c r="E126" s="5">
        <v>23.72</v>
      </c>
      <c r="F126">
        <v>25</v>
      </c>
      <c r="G126" s="8">
        <v>25</v>
      </c>
      <c r="H126" s="8">
        <v>23</v>
      </c>
      <c r="I126" t="s">
        <v>88</v>
      </c>
      <c r="J126" t="s">
        <v>82</v>
      </c>
      <c r="K126" t="s">
        <v>86</v>
      </c>
      <c r="L126" s="5">
        <v>5.14</v>
      </c>
      <c r="N126" s="6"/>
      <c r="O126" s="5"/>
    </row>
    <row r="127" spans="1:15" x14ac:dyDescent="0.55000000000000004">
      <c r="A127" s="6" t="s">
        <v>39</v>
      </c>
      <c r="B127" s="6">
        <v>5.52</v>
      </c>
      <c r="C127" s="5">
        <f>B127-L127</f>
        <v>0.38999999999999968</v>
      </c>
      <c r="D127" s="5">
        <f>B127+L127</f>
        <v>10.649999999999999</v>
      </c>
      <c r="E127" s="5">
        <v>0.39</v>
      </c>
      <c r="F127">
        <v>1</v>
      </c>
      <c r="G127" s="8">
        <v>1</v>
      </c>
      <c r="H127" s="8">
        <v>5</v>
      </c>
      <c r="I127" t="s">
        <v>89</v>
      </c>
      <c r="J127" t="s">
        <v>76</v>
      </c>
      <c r="K127" t="s">
        <v>86</v>
      </c>
      <c r="L127" s="5">
        <v>5.13</v>
      </c>
      <c r="N127" s="6"/>
      <c r="O127" s="5"/>
    </row>
    <row r="128" spans="1:15" x14ac:dyDescent="0.55000000000000004">
      <c r="A128" s="6" t="s">
        <v>38</v>
      </c>
      <c r="B128" s="6">
        <v>7.15</v>
      </c>
      <c r="C128" s="5">
        <f t="shared" ref="C128:C151" si="9">B128-L128</f>
        <v>2.0200000000000005</v>
      </c>
      <c r="D128" s="5">
        <f t="shared" ref="D128:D151" si="10">B128+L128</f>
        <v>12.280000000000001</v>
      </c>
      <c r="E128" s="5">
        <v>2.02</v>
      </c>
      <c r="F128">
        <v>2</v>
      </c>
      <c r="G128" s="8">
        <v>2</v>
      </c>
      <c r="H128" s="8">
        <v>18</v>
      </c>
      <c r="I128" t="s">
        <v>89</v>
      </c>
      <c r="J128" t="s">
        <v>76</v>
      </c>
      <c r="K128" t="s">
        <v>86</v>
      </c>
      <c r="L128" s="5">
        <v>5.13</v>
      </c>
      <c r="N128" s="6"/>
      <c r="O128" s="5"/>
    </row>
    <row r="129" spans="1:15" x14ac:dyDescent="0.55000000000000004">
      <c r="A129" s="6" t="s">
        <v>27</v>
      </c>
      <c r="B129" s="6">
        <v>7.39</v>
      </c>
      <c r="C129" s="5">
        <f t="shared" si="9"/>
        <v>2.2599999999999998</v>
      </c>
      <c r="D129" s="5">
        <f t="shared" si="10"/>
        <v>12.52</v>
      </c>
      <c r="E129" s="5">
        <v>7.39</v>
      </c>
      <c r="F129">
        <v>3</v>
      </c>
      <c r="G129" s="8">
        <v>7</v>
      </c>
      <c r="H129" s="8">
        <v>6</v>
      </c>
      <c r="I129" t="s">
        <v>89</v>
      </c>
      <c r="J129" t="s">
        <v>76</v>
      </c>
      <c r="K129" t="s">
        <v>86</v>
      </c>
      <c r="L129" s="5">
        <v>5.13</v>
      </c>
      <c r="N129" s="6"/>
      <c r="O129" s="5"/>
    </row>
    <row r="130" spans="1:15" x14ac:dyDescent="0.55000000000000004">
      <c r="A130" s="6" t="s">
        <v>34</v>
      </c>
      <c r="B130" s="6">
        <v>7.51</v>
      </c>
      <c r="C130" s="5">
        <f t="shared" si="9"/>
        <v>2.38</v>
      </c>
      <c r="D130" s="5">
        <f t="shared" si="10"/>
        <v>12.64</v>
      </c>
      <c r="E130" s="5">
        <v>2.38</v>
      </c>
      <c r="F130">
        <v>4</v>
      </c>
      <c r="G130" s="8">
        <v>3</v>
      </c>
      <c r="H130" s="8">
        <v>1</v>
      </c>
      <c r="I130" t="s">
        <v>89</v>
      </c>
      <c r="J130" t="s">
        <v>76</v>
      </c>
      <c r="K130" t="s">
        <v>86</v>
      </c>
      <c r="L130" s="5">
        <v>5.13</v>
      </c>
      <c r="N130" s="6"/>
      <c r="O130" s="5"/>
    </row>
    <row r="131" spans="1:15" x14ac:dyDescent="0.55000000000000004">
      <c r="A131" s="6" t="s">
        <v>35</v>
      </c>
      <c r="B131" s="6">
        <v>8.9</v>
      </c>
      <c r="C131" s="5">
        <f t="shared" si="9"/>
        <v>3.7700000000000005</v>
      </c>
      <c r="D131" s="5">
        <f t="shared" si="10"/>
        <v>14.030000000000001</v>
      </c>
      <c r="E131" s="5">
        <v>3.77</v>
      </c>
      <c r="F131">
        <v>5</v>
      </c>
      <c r="G131" s="8">
        <v>4</v>
      </c>
      <c r="H131" s="8">
        <v>2</v>
      </c>
      <c r="I131" t="s">
        <v>89</v>
      </c>
      <c r="J131" t="s">
        <v>76</v>
      </c>
      <c r="K131" t="s">
        <v>86</v>
      </c>
      <c r="L131" s="5">
        <v>5.13</v>
      </c>
      <c r="N131" s="6"/>
      <c r="O131" s="5"/>
    </row>
    <row r="132" spans="1:15" x14ac:dyDescent="0.55000000000000004">
      <c r="A132" s="6" t="s">
        <v>33</v>
      </c>
      <c r="B132" s="6">
        <v>9.32</v>
      </c>
      <c r="C132" s="5">
        <f t="shared" si="9"/>
        <v>4.1900000000000004</v>
      </c>
      <c r="D132" s="5">
        <f t="shared" si="10"/>
        <v>14.45</v>
      </c>
      <c r="E132" s="5">
        <v>4.1900000000000004</v>
      </c>
      <c r="F132">
        <v>6</v>
      </c>
      <c r="G132" s="8">
        <v>5</v>
      </c>
      <c r="H132" s="8">
        <v>9</v>
      </c>
      <c r="I132" t="s">
        <v>89</v>
      </c>
      <c r="J132" t="s">
        <v>76</v>
      </c>
      <c r="K132" t="s">
        <v>86</v>
      </c>
      <c r="L132" s="5">
        <v>5.13</v>
      </c>
      <c r="N132" s="6"/>
      <c r="O132" s="5"/>
    </row>
    <row r="133" spans="1:15" x14ac:dyDescent="0.55000000000000004">
      <c r="A133" s="6" t="s">
        <v>37</v>
      </c>
      <c r="B133" s="6">
        <v>9.4</v>
      </c>
      <c r="C133" s="5">
        <f t="shared" si="9"/>
        <v>4.2700000000000005</v>
      </c>
      <c r="D133" s="5">
        <f t="shared" si="10"/>
        <v>14.530000000000001</v>
      </c>
      <c r="E133" s="5">
        <v>9.4</v>
      </c>
      <c r="F133">
        <v>7</v>
      </c>
      <c r="G133" s="8">
        <v>8</v>
      </c>
      <c r="H133" s="8">
        <v>4</v>
      </c>
      <c r="I133" t="s">
        <v>89</v>
      </c>
      <c r="J133" t="s">
        <v>76</v>
      </c>
      <c r="K133" t="s">
        <v>86</v>
      </c>
      <c r="L133" s="5">
        <v>5.13</v>
      </c>
      <c r="N133" s="6"/>
      <c r="O133" s="5"/>
    </row>
    <row r="134" spans="1:15" x14ac:dyDescent="0.55000000000000004">
      <c r="A134" s="6" t="s">
        <v>44</v>
      </c>
      <c r="B134" s="6">
        <v>9.68</v>
      </c>
      <c r="C134" s="5">
        <f t="shared" si="9"/>
        <v>4.55</v>
      </c>
      <c r="D134" s="5">
        <f t="shared" si="10"/>
        <v>14.809999999999999</v>
      </c>
      <c r="E134" s="5">
        <v>9.68</v>
      </c>
      <c r="F134">
        <v>8</v>
      </c>
      <c r="G134" s="8">
        <v>9</v>
      </c>
      <c r="H134" s="8">
        <v>23</v>
      </c>
      <c r="I134" t="s">
        <v>89</v>
      </c>
      <c r="J134" t="s">
        <v>76</v>
      </c>
      <c r="K134" t="s">
        <v>86</v>
      </c>
      <c r="L134" s="5">
        <v>5.13</v>
      </c>
      <c r="N134" s="6"/>
      <c r="O134" s="5"/>
    </row>
    <row r="135" spans="1:15" x14ac:dyDescent="0.55000000000000004">
      <c r="A135" s="6" t="s">
        <v>41</v>
      </c>
      <c r="B135" s="6">
        <v>9.9700000000000006</v>
      </c>
      <c r="C135" s="5">
        <f t="shared" si="9"/>
        <v>4.8400000000000007</v>
      </c>
      <c r="D135" s="5">
        <f t="shared" si="10"/>
        <v>15.100000000000001</v>
      </c>
      <c r="E135" s="5">
        <v>4.84</v>
      </c>
      <c r="F135">
        <v>9</v>
      </c>
      <c r="G135" s="8">
        <v>6</v>
      </c>
      <c r="H135" s="8">
        <v>3</v>
      </c>
      <c r="I135" t="s">
        <v>89</v>
      </c>
      <c r="J135" t="s">
        <v>76</v>
      </c>
      <c r="K135" t="s">
        <v>86</v>
      </c>
      <c r="L135" s="5">
        <v>5.13</v>
      </c>
      <c r="N135" s="6"/>
      <c r="O135" s="5"/>
    </row>
    <row r="136" spans="1:15" x14ac:dyDescent="0.55000000000000004">
      <c r="A136" s="6" t="s">
        <v>36</v>
      </c>
      <c r="B136" s="6">
        <v>11.1</v>
      </c>
      <c r="C136" s="5">
        <f t="shared" si="9"/>
        <v>5.97</v>
      </c>
      <c r="D136" s="5">
        <f t="shared" si="10"/>
        <v>16.23</v>
      </c>
      <c r="E136" s="5">
        <v>11.1</v>
      </c>
      <c r="F136">
        <v>10</v>
      </c>
      <c r="G136" s="8">
        <v>11</v>
      </c>
      <c r="H136" s="8">
        <v>16</v>
      </c>
      <c r="I136" t="s">
        <v>89</v>
      </c>
      <c r="J136" t="s">
        <v>76</v>
      </c>
      <c r="K136" t="s">
        <v>86</v>
      </c>
      <c r="L136" s="5">
        <v>5.13</v>
      </c>
      <c r="N136" s="6"/>
      <c r="O136" s="5"/>
    </row>
    <row r="137" spans="1:15" x14ac:dyDescent="0.55000000000000004">
      <c r="A137" s="6" t="s">
        <v>25</v>
      </c>
      <c r="B137" s="6">
        <v>11.61</v>
      </c>
      <c r="C137" s="5">
        <f t="shared" si="9"/>
        <v>6.4799999999999995</v>
      </c>
      <c r="D137" s="5">
        <f t="shared" si="10"/>
        <v>16.739999999999998</v>
      </c>
      <c r="E137" s="5">
        <v>11.61</v>
      </c>
      <c r="F137">
        <v>11</v>
      </c>
      <c r="G137" s="8">
        <v>12</v>
      </c>
      <c r="H137" s="8">
        <v>11</v>
      </c>
      <c r="I137" t="s">
        <v>89</v>
      </c>
      <c r="J137" t="s">
        <v>76</v>
      </c>
      <c r="K137" t="s">
        <v>86</v>
      </c>
      <c r="L137" s="5">
        <v>5.13</v>
      </c>
      <c r="N137" s="6"/>
      <c r="O137" s="5"/>
    </row>
    <row r="138" spans="1:15" x14ac:dyDescent="0.55000000000000004">
      <c r="A138" s="6" t="s">
        <v>28</v>
      </c>
      <c r="B138" s="6">
        <v>11.63</v>
      </c>
      <c r="C138" s="5">
        <f t="shared" si="9"/>
        <v>6.5000000000000009</v>
      </c>
      <c r="D138" s="5">
        <f t="shared" si="10"/>
        <v>16.760000000000002</v>
      </c>
      <c r="E138" s="5">
        <v>16.760000000000002</v>
      </c>
      <c r="F138">
        <v>12</v>
      </c>
      <c r="G138" s="8">
        <v>21</v>
      </c>
      <c r="H138" s="8">
        <v>22</v>
      </c>
      <c r="I138" t="s">
        <v>89</v>
      </c>
      <c r="J138" t="s">
        <v>76</v>
      </c>
      <c r="K138" t="s">
        <v>86</v>
      </c>
      <c r="L138" s="5">
        <v>5.13</v>
      </c>
      <c r="N138" s="6"/>
      <c r="O138" s="5"/>
    </row>
    <row r="139" spans="1:15" x14ac:dyDescent="0.55000000000000004">
      <c r="A139" s="6" t="s">
        <v>40</v>
      </c>
      <c r="B139" s="6">
        <v>12.35</v>
      </c>
      <c r="C139" s="5">
        <f t="shared" si="9"/>
        <v>7.22</v>
      </c>
      <c r="D139" s="5">
        <f t="shared" si="10"/>
        <v>17.48</v>
      </c>
      <c r="E139" s="5">
        <v>12.35</v>
      </c>
      <c r="F139">
        <v>13</v>
      </c>
      <c r="G139" s="8">
        <v>13</v>
      </c>
      <c r="H139" s="8">
        <v>13</v>
      </c>
      <c r="I139" t="s">
        <v>89</v>
      </c>
      <c r="J139" t="s">
        <v>76</v>
      </c>
      <c r="K139" t="s">
        <v>86</v>
      </c>
      <c r="L139" s="5">
        <v>5.13</v>
      </c>
      <c r="N139" s="6"/>
      <c r="O139" s="5"/>
    </row>
    <row r="140" spans="1:15" x14ac:dyDescent="0.55000000000000004">
      <c r="A140" s="6" t="s">
        <v>30</v>
      </c>
      <c r="B140" s="6">
        <v>12.71</v>
      </c>
      <c r="C140" s="5">
        <f t="shared" si="9"/>
        <v>7.580000000000001</v>
      </c>
      <c r="D140" s="5">
        <f t="shared" si="10"/>
        <v>17.84</v>
      </c>
      <c r="E140" s="5">
        <v>12.71</v>
      </c>
      <c r="F140">
        <v>14</v>
      </c>
      <c r="G140" s="8">
        <v>14</v>
      </c>
      <c r="H140" s="8">
        <v>7</v>
      </c>
      <c r="I140" t="s">
        <v>89</v>
      </c>
      <c r="J140" t="s">
        <v>76</v>
      </c>
      <c r="K140" t="s">
        <v>86</v>
      </c>
      <c r="L140" s="5">
        <v>5.13</v>
      </c>
      <c r="N140" s="6"/>
      <c r="O140" s="5"/>
    </row>
    <row r="141" spans="1:15" x14ac:dyDescent="0.55000000000000004">
      <c r="A141" s="6" t="s">
        <v>45</v>
      </c>
      <c r="B141" s="6">
        <v>12.85</v>
      </c>
      <c r="C141" s="5">
        <f t="shared" si="9"/>
        <v>7.72</v>
      </c>
      <c r="D141" s="5">
        <f t="shared" si="10"/>
        <v>17.98</v>
      </c>
      <c r="E141" s="5">
        <v>12.85</v>
      </c>
      <c r="F141">
        <v>15</v>
      </c>
      <c r="G141" s="8">
        <v>15</v>
      </c>
      <c r="H141" s="8">
        <v>25</v>
      </c>
      <c r="I141" t="s">
        <v>89</v>
      </c>
      <c r="J141" t="s">
        <v>76</v>
      </c>
      <c r="K141" t="s">
        <v>86</v>
      </c>
      <c r="L141" s="5">
        <v>5.13</v>
      </c>
      <c r="N141" s="6"/>
      <c r="O141" s="5"/>
    </row>
    <row r="142" spans="1:15" x14ac:dyDescent="0.55000000000000004">
      <c r="A142" s="6" t="s">
        <v>48</v>
      </c>
      <c r="B142" s="6">
        <v>12.86</v>
      </c>
      <c r="C142" s="5">
        <f t="shared" si="9"/>
        <v>7.7299999999999995</v>
      </c>
      <c r="D142" s="5">
        <f t="shared" si="10"/>
        <v>17.989999999999998</v>
      </c>
      <c r="E142" s="5">
        <v>17.989999999999998</v>
      </c>
      <c r="F142">
        <v>16</v>
      </c>
      <c r="G142" s="8">
        <v>22</v>
      </c>
      <c r="H142" s="8">
        <v>12</v>
      </c>
      <c r="I142" t="s">
        <v>89</v>
      </c>
      <c r="J142" t="s">
        <v>76</v>
      </c>
      <c r="K142" t="s">
        <v>86</v>
      </c>
      <c r="L142" s="5">
        <v>5.13</v>
      </c>
      <c r="N142" s="6"/>
      <c r="O142" s="5"/>
    </row>
    <row r="143" spans="1:15" x14ac:dyDescent="0.55000000000000004">
      <c r="A143" s="6" t="s">
        <v>31</v>
      </c>
      <c r="B143" s="6">
        <v>13.93</v>
      </c>
      <c r="C143" s="5">
        <f t="shared" si="9"/>
        <v>8.8000000000000007</v>
      </c>
      <c r="D143" s="5">
        <f t="shared" si="10"/>
        <v>19.059999999999999</v>
      </c>
      <c r="E143" s="5">
        <v>13.93</v>
      </c>
      <c r="F143">
        <v>17</v>
      </c>
      <c r="G143" s="8">
        <v>16</v>
      </c>
      <c r="H143" s="8">
        <v>21</v>
      </c>
      <c r="I143" t="s">
        <v>89</v>
      </c>
      <c r="J143" t="s">
        <v>76</v>
      </c>
      <c r="K143" t="s">
        <v>86</v>
      </c>
      <c r="L143" s="5">
        <v>5.13</v>
      </c>
      <c r="N143" s="6"/>
      <c r="O143" s="5"/>
    </row>
    <row r="144" spans="1:15" x14ac:dyDescent="0.55000000000000004">
      <c r="A144" s="6" t="s">
        <v>47</v>
      </c>
      <c r="B144" s="6">
        <v>14.31</v>
      </c>
      <c r="C144" s="5">
        <f t="shared" si="9"/>
        <v>9.18</v>
      </c>
      <c r="D144" s="5">
        <f t="shared" si="10"/>
        <v>19.440000000000001</v>
      </c>
      <c r="E144" s="5">
        <v>14.31</v>
      </c>
      <c r="F144">
        <v>18</v>
      </c>
      <c r="G144" s="8">
        <v>17</v>
      </c>
      <c r="H144" s="8">
        <v>10</v>
      </c>
      <c r="I144" t="s">
        <v>89</v>
      </c>
      <c r="J144" t="s">
        <v>76</v>
      </c>
      <c r="K144" t="s">
        <v>86</v>
      </c>
      <c r="L144" s="5">
        <v>5.13</v>
      </c>
      <c r="N144" s="6"/>
      <c r="O144" s="5"/>
    </row>
    <row r="145" spans="1:15" x14ac:dyDescent="0.55000000000000004">
      <c r="A145" s="6" t="s">
        <v>29</v>
      </c>
      <c r="B145" s="6">
        <v>14.88</v>
      </c>
      <c r="C145" s="5">
        <f t="shared" si="9"/>
        <v>9.75</v>
      </c>
      <c r="D145" s="5">
        <f t="shared" si="10"/>
        <v>20.010000000000002</v>
      </c>
      <c r="E145" s="5">
        <v>20.010000000000002</v>
      </c>
      <c r="F145">
        <v>19</v>
      </c>
      <c r="G145" s="8">
        <v>23</v>
      </c>
      <c r="H145" s="8">
        <v>14</v>
      </c>
      <c r="I145" t="s">
        <v>89</v>
      </c>
      <c r="J145" t="s">
        <v>76</v>
      </c>
      <c r="K145" t="s">
        <v>86</v>
      </c>
      <c r="L145" s="5">
        <v>5.13</v>
      </c>
      <c r="N145" s="6"/>
      <c r="O145" s="5"/>
    </row>
    <row r="146" spans="1:15" x14ac:dyDescent="0.55000000000000004">
      <c r="A146" s="6" t="s">
        <v>49</v>
      </c>
      <c r="B146" s="6">
        <v>15.06</v>
      </c>
      <c r="C146" s="5">
        <f t="shared" si="9"/>
        <v>9.93</v>
      </c>
      <c r="D146" s="5">
        <f t="shared" si="10"/>
        <v>20.190000000000001</v>
      </c>
      <c r="E146" s="5">
        <v>15.06</v>
      </c>
      <c r="F146">
        <v>20</v>
      </c>
      <c r="G146" s="8">
        <v>18</v>
      </c>
      <c r="H146" s="8">
        <v>15</v>
      </c>
      <c r="I146" t="s">
        <v>89</v>
      </c>
      <c r="J146" t="s">
        <v>76</v>
      </c>
      <c r="K146" t="s">
        <v>86</v>
      </c>
      <c r="L146" s="5">
        <v>5.13</v>
      </c>
      <c r="N146" s="6"/>
      <c r="O146" s="5"/>
    </row>
    <row r="147" spans="1:15" x14ac:dyDescent="0.55000000000000004">
      <c r="A147" s="6" t="s">
        <v>42</v>
      </c>
      <c r="B147" s="6">
        <v>15.23</v>
      </c>
      <c r="C147" s="5">
        <f t="shared" si="9"/>
        <v>10.100000000000001</v>
      </c>
      <c r="D147" s="5">
        <f t="shared" si="10"/>
        <v>20.36</v>
      </c>
      <c r="E147" s="5">
        <v>20.6</v>
      </c>
      <c r="F147">
        <v>21</v>
      </c>
      <c r="G147" s="8">
        <v>24</v>
      </c>
      <c r="H147" s="8">
        <v>24</v>
      </c>
      <c r="I147" t="s">
        <v>89</v>
      </c>
      <c r="J147" t="s">
        <v>76</v>
      </c>
      <c r="K147" t="s">
        <v>86</v>
      </c>
      <c r="L147" s="5">
        <v>5.13</v>
      </c>
      <c r="N147" s="6"/>
      <c r="O147" s="5"/>
    </row>
    <row r="148" spans="1:15" x14ac:dyDescent="0.55000000000000004">
      <c r="A148" s="6" t="s">
        <v>46</v>
      </c>
      <c r="B148" s="6">
        <v>15.71</v>
      </c>
      <c r="C148" s="5">
        <f t="shared" si="9"/>
        <v>10.580000000000002</v>
      </c>
      <c r="D148" s="5">
        <f t="shared" si="10"/>
        <v>20.84</v>
      </c>
      <c r="E148" s="5">
        <v>15.71</v>
      </c>
      <c r="F148">
        <v>22</v>
      </c>
      <c r="G148" s="8">
        <v>19</v>
      </c>
      <c r="H148" s="8">
        <v>20</v>
      </c>
      <c r="I148" t="s">
        <v>89</v>
      </c>
      <c r="J148" t="s">
        <v>76</v>
      </c>
      <c r="K148" t="s">
        <v>86</v>
      </c>
      <c r="L148" s="5">
        <v>5.13</v>
      </c>
      <c r="N148" s="6"/>
      <c r="O148" s="5"/>
    </row>
    <row r="149" spans="1:15" x14ac:dyDescent="0.55000000000000004">
      <c r="A149" s="6" t="s">
        <v>26</v>
      </c>
      <c r="B149" s="6">
        <v>15.81</v>
      </c>
      <c r="C149" s="5">
        <f t="shared" si="9"/>
        <v>10.68</v>
      </c>
      <c r="D149" s="5">
        <f t="shared" si="10"/>
        <v>20.94</v>
      </c>
      <c r="E149" s="5">
        <v>10.68</v>
      </c>
      <c r="F149">
        <v>23</v>
      </c>
      <c r="G149" s="8">
        <v>10</v>
      </c>
      <c r="H149" s="8">
        <v>19</v>
      </c>
      <c r="I149" t="s">
        <v>89</v>
      </c>
      <c r="J149" t="s">
        <v>76</v>
      </c>
      <c r="K149" t="s">
        <v>86</v>
      </c>
      <c r="L149" s="5">
        <v>5.13</v>
      </c>
      <c r="N149" s="6"/>
      <c r="O149" s="5"/>
    </row>
    <row r="150" spans="1:15" x14ac:dyDescent="0.55000000000000004">
      <c r="A150" s="6" t="s">
        <v>32</v>
      </c>
      <c r="B150" s="6">
        <v>16.32</v>
      </c>
      <c r="C150" s="5">
        <f t="shared" si="9"/>
        <v>11.190000000000001</v>
      </c>
      <c r="D150" s="5">
        <f t="shared" si="10"/>
        <v>21.45</v>
      </c>
      <c r="E150" s="5">
        <v>16.32</v>
      </c>
      <c r="F150">
        <v>24</v>
      </c>
      <c r="G150" s="8">
        <v>20</v>
      </c>
      <c r="H150" s="8">
        <v>8</v>
      </c>
      <c r="I150" t="s">
        <v>89</v>
      </c>
      <c r="J150" t="s">
        <v>76</v>
      </c>
      <c r="K150" t="s">
        <v>86</v>
      </c>
      <c r="L150" s="5">
        <v>5.13</v>
      </c>
    </row>
    <row r="151" spans="1:15" x14ac:dyDescent="0.55000000000000004">
      <c r="A151" s="6" t="s">
        <v>43</v>
      </c>
      <c r="B151" s="6">
        <v>17.98</v>
      </c>
      <c r="C151" s="5">
        <f t="shared" si="9"/>
        <v>12.850000000000001</v>
      </c>
      <c r="D151" s="5">
        <f t="shared" si="10"/>
        <v>23.11</v>
      </c>
      <c r="E151" s="5">
        <v>23.11</v>
      </c>
      <c r="F151">
        <v>25</v>
      </c>
      <c r="G151" s="8">
        <v>25</v>
      </c>
      <c r="H151" s="8">
        <v>17</v>
      </c>
      <c r="I151" t="s">
        <v>89</v>
      </c>
      <c r="J151" t="s">
        <v>76</v>
      </c>
      <c r="K151" t="s">
        <v>86</v>
      </c>
      <c r="L151" s="5">
        <v>5.13</v>
      </c>
    </row>
    <row r="152" spans="1:15" x14ac:dyDescent="0.55000000000000004">
      <c r="A152" s="6" t="s">
        <v>39</v>
      </c>
      <c r="B152" s="6">
        <v>6.82</v>
      </c>
      <c r="C152" s="5">
        <f>B152-L152</f>
        <v>1.7600000000000007</v>
      </c>
      <c r="D152" s="5">
        <f>B152+L152</f>
        <v>11.879999999999999</v>
      </c>
      <c r="E152" s="5">
        <v>6.82</v>
      </c>
      <c r="F152">
        <v>1</v>
      </c>
      <c r="G152" s="8">
        <v>4</v>
      </c>
      <c r="H152" s="8">
        <v>7</v>
      </c>
      <c r="I152" t="s">
        <v>90</v>
      </c>
      <c r="J152" t="s">
        <v>85</v>
      </c>
      <c r="K152" t="s">
        <v>86</v>
      </c>
      <c r="L152" s="5">
        <v>5.0599999999999996</v>
      </c>
      <c r="N152" s="6"/>
      <c r="O152" s="5"/>
    </row>
    <row r="153" spans="1:15" x14ac:dyDescent="0.55000000000000004">
      <c r="A153" s="6" t="s">
        <v>38</v>
      </c>
      <c r="B153" s="6">
        <v>9.34</v>
      </c>
      <c r="C153" s="5">
        <f t="shared" ref="C153:C184" si="11">B153-L153</f>
        <v>4.28</v>
      </c>
      <c r="D153" s="5">
        <f t="shared" ref="D153:D184" si="12">B153+L153</f>
        <v>14.399999999999999</v>
      </c>
      <c r="E153" s="5">
        <v>4.28</v>
      </c>
      <c r="F153">
        <v>2</v>
      </c>
      <c r="G153" s="8">
        <v>1</v>
      </c>
      <c r="H153" s="8">
        <v>4</v>
      </c>
      <c r="I153" t="s">
        <v>90</v>
      </c>
      <c r="J153" t="s">
        <v>85</v>
      </c>
      <c r="K153" t="s">
        <v>86</v>
      </c>
      <c r="L153" s="5">
        <v>5.0599999999999996</v>
      </c>
      <c r="N153" s="6"/>
      <c r="O153" s="5"/>
    </row>
    <row r="154" spans="1:15" x14ac:dyDescent="0.55000000000000004">
      <c r="A154" s="6" t="s">
        <v>35</v>
      </c>
      <c r="B154" s="6">
        <v>9.44</v>
      </c>
      <c r="C154" s="5">
        <f t="shared" si="11"/>
        <v>4.38</v>
      </c>
      <c r="D154" s="5">
        <f t="shared" si="12"/>
        <v>14.5</v>
      </c>
      <c r="E154" s="5">
        <v>4.38</v>
      </c>
      <c r="F154">
        <v>3</v>
      </c>
      <c r="G154" s="8">
        <v>2</v>
      </c>
      <c r="H154" s="8">
        <v>2</v>
      </c>
      <c r="I154" t="s">
        <v>90</v>
      </c>
      <c r="J154" t="s">
        <v>85</v>
      </c>
      <c r="K154" t="s">
        <v>86</v>
      </c>
      <c r="L154" s="5">
        <v>5.0599999999999996</v>
      </c>
      <c r="N154" s="6"/>
      <c r="O154" s="5"/>
    </row>
    <row r="155" spans="1:15" x14ac:dyDescent="0.55000000000000004">
      <c r="A155" s="6" t="s">
        <v>45</v>
      </c>
      <c r="B155" s="6">
        <v>9.74</v>
      </c>
      <c r="C155" s="5">
        <f t="shared" si="11"/>
        <v>4.6800000000000006</v>
      </c>
      <c r="D155" s="5">
        <f t="shared" si="12"/>
        <v>14.8</v>
      </c>
      <c r="E155" s="5">
        <v>14.8</v>
      </c>
      <c r="F155">
        <v>4</v>
      </c>
      <c r="G155" s="8">
        <v>13</v>
      </c>
      <c r="H155" s="8">
        <v>30</v>
      </c>
      <c r="I155" t="s">
        <v>90</v>
      </c>
      <c r="J155" t="s">
        <v>85</v>
      </c>
      <c r="K155" t="s">
        <v>86</v>
      </c>
      <c r="L155" s="5">
        <v>5.0599999999999996</v>
      </c>
      <c r="N155" s="6"/>
      <c r="O155" s="5"/>
    </row>
    <row r="156" spans="1:15" x14ac:dyDescent="0.55000000000000004">
      <c r="A156" s="6" t="s">
        <v>27</v>
      </c>
      <c r="B156" s="6">
        <v>10</v>
      </c>
      <c r="C156" s="5">
        <f t="shared" si="11"/>
        <v>4.9400000000000004</v>
      </c>
      <c r="D156" s="5">
        <f t="shared" si="12"/>
        <v>15.059999999999999</v>
      </c>
      <c r="E156" s="5">
        <v>10</v>
      </c>
      <c r="F156">
        <v>5</v>
      </c>
      <c r="G156" s="8">
        <v>8</v>
      </c>
      <c r="H156" s="8">
        <v>15</v>
      </c>
      <c r="I156" t="s">
        <v>90</v>
      </c>
      <c r="J156" t="s">
        <v>85</v>
      </c>
      <c r="K156" t="s">
        <v>86</v>
      </c>
      <c r="L156" s="5">
        <v>5.0599999999999996</v>
      </c>
      <c r="N156" s="6"/>
      <c r="O156" s="5"/>
    </row>
    <row r="157" spans="1:15" x14ac:dyDescent="0.55000000000000004">
      <c r="A157" s="6" t="s">
        <v>36</v>
      </c>
      <c r="B157" s="6">
        <v>10.18</v>
      </c>
      <c r="C157" s="5">
        <f t="shared" si="11"/>
        <v>5.12</v>
      </c>
      <c r="D157" s="5">
        <f t="shared" si="12"/>
        <v>15.239999999999998</v>
      </c>
      <c r="E157" s="5">
        <v>5.12</v>
      </c>
      <c r="F157">
        <v>6</v>
      </c>
      <c r="G157" s="8">
        <v>3</v>
      </c>
      <c r="H157" s="8">
        <v>3</v>
      </c>
      <c r="I157" t="s">
        <v>90</v>
      </c>
      <c r="J157" t="s">
        <v>85</v>
      </c>
      <c r="K157" t="s">
        <v>86</v>
      </c>
      <c r="L157" s="5">
        <v>5.0599999999999996</v>
      </c>
      <c r="N157" s="6"/>
      <c r="O157" s="5"/>
    </row>
    <row r="158" spans="1:15" x14ac:dyDescent="0.55000000000000004">
      <c r="A158" s="6" t="s">
        <v>44</v>
      </c>
      <c r="B158" s="6">
        <v>12.37</v>
      </c>
      <c r="C158" s="5">
        <f t="shared" si="11"/>
        <v>7.31</v>
      </c>
      <c r="D158" s="5">
        <f t="shared" si="12"/>
        <v>17.43</v>
      </c>
      <c r="E158" s="5">
        <v>12.73</v>
      </c>
      <c r="F158">
        <v>7</v>
      </c>
      <c r="G158" s="8">
        <v>10</v>
      </c>
      <c r="H158" s="8">
        <v>1</v>
      </c>
      <c r="I158" t="s">
        <v>90</v>
      </c>
      <c r="J158" t="s">
        <v>85</v>
      </c>
      <c r="K158" t="s">
        <v>86</v>
      </c>
      <c r="L158" s="5">
        <v>5.0599999999999996</v>
      </c>
      <c r="N158" s="6"/>
      <c r="O158" s="5"/>
    </row>
    <row r="159" spans="1:15" x14ac:dyDescent="0.55000000000000004">
      <c r="A159" s="6" t="s">
        <v>29</v>
      </c>
      <c r="B159" s="6">
        <v>12.43</v>
      </c>
      <c r="C159" s="5">
        <f t="shared" si="11"/>
        <v>7.37</v>
      </c>
      <c r="D159" s="5">
        <f t="shared" si="12"/>
        <v>17.489999999999998</v>
      </c>
      <c r="E159" s="5">
        <v>7.37</v>
      </c>
      <c r="F159">
        <v>8</v>
      </c>
      <c r="G159" s="8">
        <v>5</v>
      </c>
      <c r="H159" s="8">
        <v>8</v>
      </c>
      <c r="I159" t="s">
        <v>90</v>
      </c>
      <c r="J159" t="s">
        <v>85</v>
      </c>
      <c r="K159" t="s">
        <v>86</v>
      </c>
      <c r="L159" s="5">
        <v>5.0599999999999996</v>
      </c>
      <c r="N159" s="6"/>
      <c r="O159" s="5"/>
    </row>
    <row r="160" spans="1:15" x14ac:dyDescent="0.55000000000000004">
      <c r="A160" s="6" t="s">
        <v>91</v>
      </c>
      <c r="B160" s="6">
        <v>13.72</v>
      </c>
      <c r="C160" s="5">
        <f t="shared" si="11"/>
        <v>8.66</v>
      </c>
      <c r="D160" s="5">
        <f t="shared" si="12"/>
        <v>18.78</v>
      </c>
      <c r="E160" s="5">
        <v>8.66</v>
      </c>
      <c r="F160">
        <v>9</v>
      </c>
      <c r="G160" s="8">
        <v>6</v>
      </c>
      <c r="H160" s="8">
        <v>12</v>
      </c>
      <c r="I160" t="s">
        <v>90</v>
      </c>
      <c r="J160" t="s">
        <v>85</v>
      </c>
      <c r="K160" t="s">
        <v>86</v>
      </c>
      <c r="L160" s="5">
        <v>5.0599999999999996</v>
      </c>
      <c r="N160" s="6"/>
      <c r="O160" s="5"/>
    </row>
    <row r="161" spans="1:15" x14ac:dyDescent="0.55000000000000004">
      <c r="A161" s="6" t="s">
        <v>48</v>
      </c>
      <c r="B161" s="6">
        <v>13.91</v>
      </c>
      <c r="C161" s="5">
        <f t="shared" si="11"/>
        <v>8.8500000000000014</v>
      </c>
      <c r="D161" s="5">
        <f t="shared" si="12"/>
        <v>18.97</v>
      </c>
      <c r="E161" s="5">
        <v>18.97</v>
      </c>
      <c r="F161">
        <v>10</v>
      </c>
      <c r="G161" s="8">
        <v>22</v>
      </c>
      <c r="H161" s="8">
        <v>14</v>
      </c>
      <c r="I161" t="s">
        <v>90</v>
      </c>
      <c r="J161" t="s">
        <v>85</v>
      </c>
      <c r="K161" t="s">
        <v>86</v>
      </c>
      <c r="L161" s="5">
        <v>5.0599999999999996</v>
      </c>
      <c r="N161" s="6"/>
      <c r="O161" s="5"/>
    </row>
    <row r="162" spans="1:15" x14ac:dyDescent="0.55000000000000004">
      <c r="A162" s="6" t="s">
        <v>37</v>
      </c>
      <c r="B162" s="6">
        <v>14.16</v>
      </c>
      <c r="C162" s="5">
        <f t="shared" si="11"/>
        <v>9.1000000000000014</v>
      </c>
      <c r="D162" s="5">
        <f t="shared" si="12"/>
        <v>19.22</v>
      </c>
      <c r="E162" s="5">
        <v>9.1</v>
      </c>
      <c r="F162">
        <v>11</v>
      </c>
      <c r="G162" s="8">
        <v>7</v>
      </c>
      <c r="H162" s="8">
        <v>28</v>
      </c>
      <c r="I162" t="s">
        <v>90</v>
      </c>
      <c r="J162" t="s">
        <v>85</v>
      </c>
      <c r="K162" t="s">
        <v>86</v>
      </c>
      <c r="L162" s="5">
        <v>5.0599999999999996</v>
      </c>
      <c r="N162" s="6"/>
      <c r="O162" s="5"/>
    </row>
    <row r="163" spans="1:15" x14ac:dyDescent="0.55000000000000004">
      <c r="A163" s="6" t="s">
        <v>34</v>
      </c>
      <c r="B163" s="6">
        <v>14.91</v>
      </c>
      <c r="C163" s="5">
        <f t="shared" si="11"/>
        <v>9.8500000000000014</v>
      </c>
      <c r="D163" s="5">
        <f t="shared" si="12"/>
        <v>19.97</v>
      </c>
      <c r="E163" s="5">
        <v>19.97</v>
      </c>
      <c r="F163">
        <v>12</v>
      </c>
      <c r="G163" s="8">
        <v>24</v>
      </c>
      <c r="H163" s="8">
        <v>17</v>
      </c>
      <c r="I163" t="s">
        <v>90</v>
      </c>
      <c r="J163" t="s">
        <v>85</v>
      </c>
      <c r="K163" t="s">
        <v>86</v>
      </c>
      <c r="L163" s="5">
        <v>5.0599999999999996</v>
      </c>
      <c r="N163" s="6"/>
      <c r="O163" s="5"/>
    </row>
    <row r="164" spans="1:15" x14ac:dyDescent="0.55000000000000004">
      <c r="A164" s="6" t="s">
        <v>42</v>
      </c>
      <c r="B164" s="6">
        <v>15.21</v>
      </c>
      <c r="C164" s="5">
        <f t="shared" si="11"/>
        <v>10.150000000000002</v>
      </c>
      <c r="D164" s="5">
        <f t="shared" si="12"/>
        <v>20.27</v>
      </c>
      <c r="E164" s="5">
        <v>10.15</v>
      </c>
      <c r="F164">
        <v>13</v>
      </c>
      <c r="G164" s="8">
        <v>9</v>
      </c>
      <c r="H164" s="8">
        <v>27</v>
      </c>
      <c r="I164" t="s">
        <v>90</v>
      </c>
      <c r="J164" t="s">
        <v>85</v>
      </c>
      <c r="K164" t="s">
        <v>86</v>
      </c>
      <c r="L164" s="5">
        <v>5.0599999999999996</v>
      </c>
      <c r="N164" s="6"/>
      <c r="O164" s="5"/>
    </row>
    <row r="165" spans="1:15" x14ac:dyDescent="0.55000000000000004">
      <c r="A165" s="6" t="s">
        <v>25</v>
      </c>
      <c r="B165" s="6">
        <v>15.31</v>
      </c>
      <c r="C165" s="5">
        <f t="shared" si="11"/>
        <v>10.25</v>
      </c>
      <c r="D165" s="5">
        <f t="shared" si="12"/>
        <v>20.37</v>
      </c>
      <c r="E165" s="5">
        <v>20.37</v>
      </c>
      <c r="F165">
        <v>14</v>
      </c>
      <c r="G165" s="8">
        <v>25</v>
      </c>
      <c r="H165" s="8">
        <v>5</v>
      </c>
      <c r="I165" t="s">
        <v>90</v>
      </c>
      <c r="J165" t="s">
        <v>85</v>
      </c>
      <c r="K165" t="s">
        <v>86</v>
      </c>
      <c r="L165" s="5">
        <v>5.0599999999999996</v>
      </c>
      <c r="N165" s="6"/>
      <c r="O165" s="5"/>
    </row>
    <row r="166" spans="1:15" x14ac:dyDescent="0.55000000000000004">
      <c r="A166" s="6" t="s">
        <v>33</v>
      </c>
      <c r="B166" s="6">
        <v>15.41</v>
      </c>
      <c r="C166" s="5">
        <f t="shared" si="11"/>
        <v>10.350000000000001</v>
      </c>
      <c r="D166" s="5">
        <f t="shared" si="12"/>
        <v>20.47</v>
      </c>
      <c r="E166" s="5">
        <v>15.41</v>
      </c>
      <c r="F166">
        <v>15</v>
      </c>
      <c r="G166" s="8">
        <v>14</v>
      </c>
      <c r="H166" s="8">
        <v>16</v>
      </c>
      <c r="I166" t="s">
        <v>90</v>
      </c>
      <c r="J166" t="s">
        <v>85</v>
      </c>
      <c r="K166" t="s">
        <v>86</v>
      </c>
      <c r="L166" s="5">
        <v>5.0599999999999996</v>
      </c>
      <c r="N166" s="6"/>
      <c r="O166" s="5"/>
    </row>
    <row r="167" spans="1:15" x14ac:dyDescent="0.55000000000000004">
      <c r="A167" s="6" t="s">
        <v>40</v>
      </c>
      <c r="B167" s="6">
        <v>15.89</v>
      </c>
      <c r="C167" s="5">
        <f t="shared" si="11"/>
        <v>10.830000000000002</v>
      </c>
      <c r="D167" s="5">
        <f t="shared" si="12"/>
        <v>20.95</v>
      </c>
      <c r="E167" s="5">
        <v>15.89</v>
      </c>
      <c r="F167">
        <v>16</v>
      </c>
      <c r="G167" s="8">
        <v>15</v>
      </c>
      <c r="H167" s="8">
        <v>29</v>
      </c>
      <c r="I167" t="s">
        <v>90</v>
      </c>
      <c r="J167" t="s">
        <v>85</v>
      </c>
      <c r="K167" t="s">
        <v>86</v>
      </c>
      <c r="L167" s="5">
        <v>5.0599999999999996</v>
      </c>
      <c r="N167" s="6"/>
      <c r="O167" s="5"/>
    </row>
    <row r="168" spans="1:15" x14ac:dyDescent="0.55000000000000004">
      <c r="A168" s="6" t="s">
        <v>49</v>
      </c>
      <c r="B168" s="6">
        <v>16.239999999999998</v>
      </c>
      <c r="C168" s="5">
        <f t="shared" si="11"/>
        <v>11.18</v>
      </c>
      <c r="D168" s="5">
        <f t="shared" si="12"/>
        <v>21.299999999999997</v>
      </c>
      <c r="E168" s="5">
        <v>16.239999999999998</v>
      </c>
      <c r="F168">
        <v>17</v>
      </c>
      <c r="G168" s="8">
        <v>16</v>
      </c>
      <c r="H168" s="8">
        <v>6</v>
      </c>
      <c r="I168" t="s">
        <v>90</v>
      </c>
      <c r="J168" t="s">
        <v>85</v>
      </c>
      <c r="K168" t="s">
        <v>86</v>
      </c>
      <c r="L168" s="5">
        <v>5.0599999999999996</v>
      </c>
      <c r="N168" s="6"/>
      <c r="O168" s="5"/>
    </row>
    <row r="169" spans="1:15" x14ac:dyDescent="0.55000000000000004">
      <c r="A169" s="6" t="s">
        <v>92</v>
      </c>
      <c r="B169" s="6">
        <v>16.72</v>
      </c>
      <c r="C169" s="5">
        <f t="shared" si="11"/>
        <v>11.66</v>
      </c>
      <c r="D169" s="5">
        <f t="shared" si="12"/>
        <v>21.779999999999998</v>
      </c>
      <c r="E169" s="5">
        <v>16.72</v>
      </c>
      <c r="F169">
        <v>18</v>
      </c>
      <c r="G169" s="8">
        <v>17</v>
      </c>
      <c r="H169" s="8">
        <v>25</v>
      </c>
      <c r="I169" t="s">
        <v>90</v>
      </c>
      <c r="J169" t="s">
        <v>85</v>
      </c>
      <c r="K169" t="s">
        <v>86</v>
      </c>
      <c r="L169" s="5">
        <v>5.0599999999999996</v>
      </c>
      <c r="N169" s="6"/>
      <c r="O169" s="5"/>
    </row>
    <row r="170" spans="1:15" x14ac:dyDescent="0.55000000000000004">
      <c r="A170" s="6" t="s">
        <v>28</v>
      </c>
      <c r="B170" s="6">
        <v>17.309999999999999</v>
      </c>
      <c r="C170" s="5">
        <f t="shared" si="11"/>
        <v>12.25</v>
      </c>
      <c r="D170" s="5">
        <f t="shared" si="12"/>
        <v>22.369999999999997</v>
      </c>
      <c r="E170" s="5">
        <v>17.309999999999999</v>
      </c>
      <c r="F170">
        <v>19</v>
      </c>
      <c r="G170" s="8">
        <v>20</v>
      </c>
      <c r="H170" s="8">
        <v>13</v>
      </c>
      <c r="I170" t="s">
        <v>90</v>
      </c>
      <c r="J170" t="s">
        <v>85</v>
      </c>
      <c r="K170" t="s">
        <v>86</v>
      </c>
      <c r="L170" s="5">
        <v>5.0599999999999996</v>
      </c>
      <c r="N170" s="6"/>
      <c r="O170" s="5"/>
    </row>
    <row r="171" spans="1:15" x14ac:dyDescent="0.55000000000000004">
      <c r="A171" s="6" t="s">
        <v>96</v>
      </c>
      <c r="B171" s="6">
        <v>17.649999999999999</v>
      </c>
      <c r="C171" s="5">
        <f t="shared" si="11"/>
        <v>12.59</v>
      </c>
      <c r="D171" s="5">
        <f t="shared" si="12"/>
        <v>22.709999999999997</v>
      </c>
      <c r="E171" s="5">
        <v>17.649999999999999</v>
      </c>
      <c r="F171">
        <v>20</v>
      </c>
      <c r="G171" s="8">
        <v>21</v>
      </c>
      <c r="H171" s="8">
        <v>31</v>
      </c>
      <c r="I171" t="s">
        <v>90</v>
      </c>
      <c r="J171" t="s">
        <v>85</v>
      </c>
      <c r="K171" t="s">
        <v>86</v>
      </c>
      <c r="L171" s="5">
        <v>5.0599999999999996</v>
      </c>
      <c r="N171" s="6"/>
      <c r="O171" s="5"/>
    </row>
    <row r="172" spans="1:15" x14ac:dyDescent="0.55000000000000004">
      <c r="A172" s="6" t="s">
        <v>94</v>
      </c>
      <c r="B172" s="6">
        <v>17.8</v>
      </c>
      <c r="C172" s="5">
        <f t="shared" si="11"/>
        <v>12.740000000000002</v>
      </c>
      <c r="D172" s="5">
        <f t="shared" si="12"/>
        <v>22.86</v>
      </c>
      <c r="E172" s="5">
        <v>12.74</v>
      </c>
      <c r="F172">
        <v>21</v>
      </c>
      <c r="G172" s="8">
        <v>11</v>
      </c>
      <c r="H172" s="8">
        <v>10</v>
      </c>
      <c r="I172" t="s">
        <v>90</v>
      </c>
      <c r="J172" t="s">
        <v>85</v>
      </c>
      <c r="K172" t="s">
        <v>86</v>
      </c>
      <c r="L172" s="5">
        <v>5.0599999999999996</v>
      </c>
      <c r="N172" s="6"/>
      <c r="O172" s="5"/>
    </row>
    <row r="173" spans="1:15" x14ac:dyDescent="0.55000000000000004">
      <c r="A173" s="6" t="s">
        <v>93</v>
      </c>
      <c r="B173" s="6">
        <v>18.25</v>
      </c>
      <c r="C173" s="5">
        <f t="shared" si="11"/>
        <v>13.190000000000001</v>
      </c>
      <c r="D173" s="5">
        <f t="shared" si="12"/>
        <v>23.31</v>
      </c>
      <c r="E173" s="5">
        <v>13.19</v>
      </c>
      <c r="F173">
        <v>22</v>
      </c>
      <c r="G173" s="8">
        <v>12</v>
      </c>
      <c r="H173" s="8">
        <v>32</v>
      </c>
      <c r="I173" t="s">
        <v>90</v>
      </c>
      <c r="J173" t="s">
        <v>85</v>
      </c>
      <c r="K173" t="s">
        <v>86</v>
      </c>
      <c r="L173" s="5">
        <v>5.0599999999999996</v>
      </c>
      <c r="N173" s="6"/>
      <c r="O173" s="5"/>
    </row>
    <row r="174" spans="1:15" x14ac:dyDescent="0.55000000000000004">
      <c r="A174" s="6" t="s">
        <v>41</v>
      </c>
      <c r="B174" s="6">
        <v>19.34</v>
      </c>
      <c r="C174" s="5">
        <f t="shared" si="11"/>
        <v>14.280000000000001</v>
      </c>
      <c r="D174" s="5">
        <f t="shared" si="12"/>
        <v>24.4</v>
      </c>
      <c r="E174" s="5">
        <v>24.4</v>
      </c>
      <c r="F174">
        <v>23</v>
      </c>
      <c r="G174" s="8">
        <v>27</v>
      </c>
      <c r="H174" s="8">
        <v>20</v>
      </c>
      <c r="I174" t="s">
        <v>90</v>
      </c>
      <c r="J174" t="s">
        <v>85</v>
      </c>
      <c r="K174" t="s">
        <v>86</v>
      </c>
      <c r="L174" s="5">
        <v>5.0599999999999996</v>
      </c>
      <c r="N174" s="6"/>
      <c r="O174" s="5"/>
    </row>
    <row r="175" spans="1:15" x14ac:dyDescent="0.55000000000000004">
      <c r="A175" s="6" t="s">
        <v>47</v>
      </c>
      <c r="B175" s="6">
        <v>19.64</v>
      </c>
      <c r="C175" s="5">
        <f t="shared" si="11"/>
        <v>14.580000000000002</v>
      </c>
      <c r="D175" s="5">
        <f t="shared" si="12"/>
        <v>24.7</v>
      </c>
      <c r="E175" s="5">
        <v>19.64</v>
      </c>
      <c r="F175">
        <v>24</v>
      </c>
      <c r="G175" s="8">
        <v>23</v>
      </c>
      <c r="H175" s="8">
        <v>11</v>
      </c>
      <c r="I175" t="s">
        <v>90</v>
      </c>
      <c r="J175" t="s">
        <v>85</v>
      </c>
      <c r="K175" t="s">
        <v>86</v>
      </c>
      <c r="L175" s="5">
        <v>5.0599999999999996</v>
      </c>
      <c r="N175" s="6"/>
      <c r="O175" s="5"/>
    </row>
    <row r="176" spans="1:15" x14ac:dyDescent="0.55000000000000004">
      <c r="A176" s="6" t="s">
        <v>95</v>
      </c>
      <c r="B176" s="6">
        <v>20.51</v>
      </c>
      <c r="C176" s="5">
        <f t="shared" si="11"/>
        <v>15.450000000000003</v>
      </c>
      <c r="D176" s="5">
        <f t="shared" si="12"/>
        <v>25.57</v>
      </c>
      <c r="E176" s="5">
        <v>25.57</v>
      </c>
      <c r="F176">
        <v>25</v>
      </c>
      <c r="G176" s="8">
        <v>28</v>
      </c>
      <c r="H176" s="8">
        <v>24</v>
      </c>
      <c r="I176" t="s">
        <v>90</v>
      </c>
      <c r="J176" t="s">
        <v>85</v>
      </c>
      <c r="K176" t="s">
        <v>86</v>
      </c>
      <c r="L176" s="5">
        <v>5.0599999999999996</v>
      </c>
      <c r="N176" s="6"/>
      <c r="O176" s="5"/>
    </row>
    <row r="177" spans="1:15" x14ac:dyDescent="0.55000000000000004">
      <c r="A177" s="6" t="s">
        <v>30</v>
      </c>
      <c r="B177" s="6">
        <v>21.41</v>
      </c>
      <c r="C177" s="5">
        <f t="shared" si="11"/>
        <v>16.350000000000001</v>
      </c>
      <c r="D177" s="5">
        <f t="shared" si="12"/>
        <v>26.47</v>
      </c>
      <c r="E177" s="5">
        <v>21.41</v>
      </c>
      <c r="F177">
        <v>26</v>
      </c>
      <c r="G177" s="8">
        <v>26</v>
      </c>
      <c r="H177" s="8">
        <v>21</v>
      </c>
      <c r="I177" t="s">
        <v>90</v>
      </c>
      <c r="J177" t="s">
        <v>85</v>
      </c>
      <c r="K177" t="s">
        <v>86</v>
      </c>
      <c r="L177" s="5">
        <v>5.0599999999999996</v>
      </c>
      <c r="N177" s="6"/>
      <c r="O177" s="5"/>
    </row>
    <row r="178" spans="1:15" x14ac:dyDescent="0.55000000000000004">
      <c r="A178" s="6" t="s">
        <v>97</v>
      </c>
      <c r="B178" s="6">
        <v>21.94</v>
      </c>
      <c r="C178" s="5">
        <f t="shared" si="11"/>
        <v>16.880000000000003</v>
      </c>
      <c r="D178" s="5">
        <f t="shared" si="12"/>
        <v>27</v>
      </c>
      <c r="E178" s="5">
        <v>16.88</v>
      </c>
      <c r="F178">
        <v>27</v>
      </c>
      <c r="G178" s="8">
        <v>18</v>
      </c>
      <c r="H178" s="8">
        <v>22</v>
      </c>
      <c r="I178" t="s">
        <v>90</v>
      </c>
      <c r="J178" t="s">
        <v>85</v>
      </c>
      <c r="K178" t="s">
        <v>86</v>
      </c>
      <c r="L178" s="5">
        <v>5.0599999999999996</v>
      </c>
      <c r="N178" s="6"/>
      <c r="O178" s="5"/>
    </row>
    <row r="179" spans="1:15" x14ac:dyDescent="0.55000000000000004">
      <c r="A179" s="6" t="s">
        <v>31</v>
      </c>
      <c r="B179" s="6">
        <v>22.11</v>
      </c>
      <c r="C179" s="5">
        <f t="shared" si="11"/>
        <v>17.05</v>
      </c>
      <c r="D179" s="5">
        <f t="shared" si="12"/>
        <v>27.169999999999998</v>
      </c>
      <c r="E179" s="5">
        <v>17.05</v>
      </c>
      <c r="F179">
        <v>28</v>
      </c>
      <c r="G179" s="8">
        <v>19</v>
      </c>
      <c r="H179" s="8">
        <v>9</v>
      </c>
      <c r="I179" t="s">
        <v>90</v>
      </c>
      <c r="J179" t="s">
        <v>85</v>
      </c>
      <c r="K179" t="s">
        <v>86</v>
      </c>
      <c r="L179" s="5">
        <v>5.0599999999999996</v>
      </c>
      <c r="N179" s="6"/>
      <c r="O179" s="5"/>
    </row>
    <row r="180" spans="1:15" x14ac:dyDescent="0.55000000000000004">
      <c r="A180" s="6" t="s">
        <v>26</v>
      </c>
      <c r="B180" s="6">
        <v>22.36</v>
      </c>
      <c r="C180" s="5">
        <f t="shared" si="11"/>
        <v>17.3</v>
      </c>
      <c r="D180" s="5">
        <f t="shared" si="12"/>
        <v>27.419999999999998</v>
      </c>
      <c r="E180" s="5">
        <v>27.42</v>
      </c>
      <c r="F180">
        <v>29</v>
      </c>
      <c r="G180" s="8">
        <v>29</v>
      </c>
      <c r="H180" s="8">
        <v>26</v>
      </c>
      <c r="I180" t="s">
        <v>90</v>
      </c>
      <c r="J180" t="s">
        <v>85</v>
      </c>
      <c r="K180" t="s">
        <v>86</v>
      </c>
      <c r="L180" s="5">
        <v>5.0599999999999996</v>
      </c>
      <c r="N180" s="6"/>
      <c r="O180" s="5"/>
    </row>
    <row r="181" spans="1:15" x14ac:dyDescent="0.55000000000000004">
      <c r="A181" s="6" t="s">
        <v>98</v>
      </c>
      <c r="B181" s="6">
        <v>22.73</v>
      </c>
      <c r="C181" s="5">
        <f t="shared" si="11"/>
        <v>17.670000000000002</v>
      </c>
      <c r="D181" s="5">
        <f t="shared" si="12"/>
        <v>27.79</v>
      </c>
      <c r="E181" s="5">
        <v>27.79</v>
      </c>
      <c r="F181">
        <v>30</v>
      </c>
      <c r="G181" s="8">
        <v>30</v>
      </c>
      <c r="H181" s="8">
        <v>33</v>
      </c>
      <c r="I181" t="s">
        <v>90</v>
      </c>
      <c r="J181" t="s">
        <v>85</v>
      </c>
      <c r="K181" t="s">
        <v>86</v>
      </c>
      <c r="L181" s="5">
        <v>5.0599999999999996</v>
      </c>
      <c r="N181" s="6"/>
      <c r="O181" s="5"/>
    </row>
    <row r="182" spans="1:15" x14ac:dyDescent="0.55000000000000004">
      <c r="A182" s="6" t="s">
        <v>32</v>
      </c>
      <c r="B182" s="6">
        <v>22.83</v>
      </c>
      <c r="C182" s="5">
        <f t="shared" si="11"/>
        <v>17.77</v>
      </c>
      <c r="D182" s="5">
        <f t="shared" si="12"/>
        <v>27.889999999999997</v>
      </c>
      <c r="E182" s="5">
        <v>27.89</v>
      </c>
      <c r="F182">
        <v>31</v>
      </c>
      <c r="G182" s="8">
        <v>31</v>
      </c>
      <c r="H182" s="8">
        <v>19</v>
      </c>
      <c r="I182" t="s">
        <v>90</v>
      </c>
      <c r="J182" t="s">
        <v>85</v>
      </c>
      <c r="K182" t="s">
        <v>86</v>
      </c>
      <c r="L182" s="5">
        <v>5.0599999999999996</v>
      </c>
      <c r="N182" s="6"/>
      <c r="O182" s="5"/>
    </row>
    <row r="183" spans="1:15" x14ac:dyDescent="0.55000000000000004">
      <c r="A183" s="6" t="s">
        <v>46</v>
      </c>
      <c r="B183" s="6">
        <v>23.69</v>
      </c>
      <c r="C183" s="5">
        <f t="shared" si="11"/>
        <v>18.630000000000003</v>
      </c>
      <c r="D183" s="5">
        <f t="shared" si="12"/>
        <v>28.75</v>
      </c>
      <c r="E183" s="5">
        <v>28.75</v>
      </c>
      <c r="F183">
        <v>32</v>
      </c>
      <c r="G183" s="8">
        <v>32</v>
      </c>
      <c r="H183" s="8">
        <v>18</v>
      </c>
      <c r="I183" t="s">
        <v>90</v>
      </c>
      <c r="J183" t="s">
        <v>85</v>
      </c>
      <c r="K183" t="s">
        <v>86</v>
      </c>
      <c r="L183" s="5">
        <v>5.0599999999999996</v>
      </c>
      <c r="N183" s="6"/>
      <c r="O183" s="5"/>
    </row>
    <row r="184" spans="1:15" x14ac:dyDescent="0.55000000000000004">
      <c r="A184" s="6" t="s">
        <v>43</v>
      </c>
      <c r="B184" s="6">
        <v>24.12</v>
      </c>
      <c r="C184" s="5">
        <f t="shared" si="11"/>
        <v>19.060000000000002</v>
      </c>
      <c r="D184" s="5">
        <f t="shared" si="12"/>
        <v>29.18</v>
      </c>
      <c r="E184" s="5">
        <v>29.18</v>
      </c>
      <c r="F184">
        <v>33</v>
      </c>
      <c r="G184" s="8">
        <v>33</v>
      </c>
      <c r="H184" s="8">
        <v>23</v>
      </c>
      <c r="I184" t="s">
        <v>90</v>
      </c>
      <c r="J184" t="s">
        <v>85</v>
      </c>
      <c r="K184" t="s">
        <v>86</v>
      </c>
      <c r="L184" s="5">
        <v>5.0599999999999996</v>
      </c>
      <c r="N184" s="6"/>
      <c r="O184" s="5"/>
    </row>
    <row r="185" spans="1:15" x14ac:dyDescent="0.55000000000000004">
      <c r="A185" s="6" t="s">
        <v>39</v>
      </c>
      <c r="B185" s="6">
        <v>6.13</v>
      </c>
      <c r="C185" s="5">
        <f>B185-L185</f>
        <v>1.04</v>
      </c>
      <c r="D185" s="5">
        <f>B185+L185</f>
        <v>11.219999999999999</v>
      </c>
      <c r="E185" s="5">
        <v>1.04</v>
      </c>
      <c r="F185">
        <v>1</v>
      </c>
      <c r="G185" s="8">
        <v>1</v>
      </c>
      <c r="H185" s="8">
        <v>1</v>
      </c>
      <c r="I185" t="s">
        <v>107</v>
      </c>
      <c r="J185" t="s">
        <v>82</v>
      </c>
      <c r="K185" t="s">
        <v>86</v>
      </c>
      <c r="L185" s="5">
        <v>5.09</v>
      </c>
      <c r="N185" s="6"/>
      <c r="O185" s="5"/>
    </row>
    <row r="186" spans="1:15" x14ac:dyDescent="0.55000000000000004">
      <c r="A186" s="6" t="s">
        <v>27</v>
      </c>
      <c r="B186" s="6">
        <v>7.16</v>
      </c>
      <c r="C186" s="5">
        <f t="shared" ref="C186:C209" si="13">B186-L186</f>
        <v>2.0700000000000003</v>
      </c>
      <c r="D186" s="5">
        <f t="shared" ref="D186:D209" si="14">B186+L186</f>
        <v>12.25</v>
      </c>
      <c r="E186" s="5">
        <v>7.16</v>
      </c>
      <c r="F186">
        <v>2</v>
      </c>
      <c r="G186" s="8">
        <v>5</v>
      </c>
      <c r="H186" s="8">
        <v>24</v>
      </c>
      <c r="I186" t="s">
        <v>107</v>
      </c>
      <c r="J186" t="s">
        <v>82</v>
      </c>
      <c r="K186" t="s">
        <v>86</v>
      </c>
      <c r="L186" s="5">
        <v>5.09</v>
      </c>
      <c r="N186" s="6"/>
      <c r="O186" s="5"/>
    </row>
    <row r="187" spans="1:15" x14ac:dyDescent="0.55000000000000004">
      <c r="A187" s="6" t="s">
        <v>33</v>
      </c>
      <c r="B187" s="6">
        <v>7.98</v>
      </c>
      <c r="C187" s="5">
        <f t="shared" si="13"/>
        <v>2.8900000000000006</v>
      </c>
      <c r="D187" s="5">
        <f t="shared" si="14"/>
        <v>13.07</v>
      </c>
      <c r="E187" s="5">
        <v>2.89</v>
      </c>
      <c r="F187">
        <v>3</v>
      </c>
      <c r="G187" s="8">
        <v>2</v>
      </c>
      <c r="H187" s="8">
        <v>2</v>
      </c>
      <c r="I187" t="s">
        <v>107</v>
      </c>
      <c r="J187" t="s">
        <v>82</v>
      </c>
      <c r="K187" t="s">
        <v>86</v>
      </c>
      <c r="L187" s="5">
        <v>5.09</v>
      </c>
      <c r="N187" s="6"/>
      <c r="O187" s="5"/>
    </row>
    <row r="188" spans="1:15" x14ac:dyDescent="0.55000000000000004">
      <c r="A188" s="6" t="s">
        <v>40</v>
      </c>
      <c r="B188" s="6">
        <v>8.35</v>
      </c>
      <c r="C188" s="5">
        <f t="shared" si="13"/>
        <v>3.26</v>
      </c>
      <c r="D188" s="5">
        <f t="shared" si="14"/>
        <v>13.44</v>
      </c>
      <c r="E188" s="5">
        <v>8.35</v>
      </c>
      <c r="F188">
        <v>4</v>
      </c>
      <c r="G188" s="8">
        <v>8</v>
      </c>
      <c r="H188" s="8">
        <v>22</v>
      </c>
      <c r="I188" t="s">
        <v>107</v>
      </c>
      <c r="J188" t="s">
        <v>82</v>
      </c>
      <c r="K188" t="s">
        <v>86</v>
      </c>
      <c r="L188" s="5">
        <v>5.09</v>
      </c>
      <c r="N188" s="6"/>
      <c r="O188" s="5"/>
    </row>
    <row r="189" spans="1:15" x14ac:dyDescent="0.55000000000000004">
      <c r="A189" s="6" t="s">
        <v>34</v>
      </c>
      <c r="B189" s="6">
        <v>8.4</v>
      </c>
      <c r="C189" s="5">
        <f t="shared" si="13"/>
        <v>3.3100000000000005</v>
      </c>
      <c r="D189" s="5">
        <f t="shared" si="14"/>
        <v>13.49</v>
      </c>
      <c r="E189" s="5">
        <v>8.4</v>
      </c>
      <c r="F189">
        <v>5</v>
      </c>
      <c r="G189" s="8">
        <v>9</v>
      </c>
      <c r="H189" s="8">
        <v>5</v>
      </c>
      <c r="I189" t="s">
        <v>107</v>
      </c>
      <c r="J189" t="s">
        <v>82</v>
      </c>
      <c r="K189" t="s">
        <v>86</v>
      </c>
      <c r="L189" s="5">
        <v>5.09</v>
      </c>
      <c r="N189" s="6"/>
      <c r="O189" s="5"/>
    </row>
    <row r="190" spans="1:15" x14ac:dyDescent="0.55000000000000004">
      <c r="A190" s="6" t="s">
        <v>36</v>
      </c>
      <c r="B190" s="6">
        <v>8.74</v>
      </c>
      <c r="C190" s="5">
        <f t="shared" si="13"/>
        <v>3.6500000000000004</v>
      </c>
      <c r="D190" s="5">
        <f t="shared" si="14"/>
        <v>13.83</v>
      </c>
      <c r="E190" s="5">
        <v>8.74</v>
      </c>
      <c r="F190">
        <v>6</v>
      </c>
      <c r="G190" s="8">
        <v>10</v>
      </c>
      <c r="H190" s="8">
        <v>19</v>
      </c>
      <c r="I190" t="s">
        <v>107</v>
      </c>
      <c r="J190" t="s">
        <v>82</v>
      </c>
      <c r="K190" t="s">
        <v>86</v>
      </c>
      <c r="L190" s="5">
        <v>5.09</v>
      </c>
      <c r="N190" s="6"/>
      <c r="O190" s="5"/>
    </row>
    <row r="191" spans="1:15" x14ac:dyDescent="0.55000000000000004">
      <c r="A191" s="6" t="s">
        <v>38</v>
      </c>
      <c r="B191" s="6">
        <v>9.7899999999999991</v>
      </c>
      <c r="C191" s="5">
        <f t="shared" si="13"/>
        <v>4.6999999999999993</v>
      </c>
      <c r="D191" s="5">
        <f t="shared" si="14"/>
        <v>14.879999999999999</v>
      </c>
      <c r="E191" s="5">
        <v>4.7</v>
      </c>
      <c r="F191">
        <v>7</v>
      </c>
      <c r="G191" s="8">
        <v>3</v>
      </c>
      <c r="H191" s="8">
        <v>4</v>
      </c>
      <c r="I191" t="s">
        <v>107</v>
      </c>
      <c r="J191" t="s">
        <v>82</v>
      </c>
      <c r="K191" t="s">
        <v>86</v>
      </c>
      <c r="L191" s="5">
        <v>5.09</v>
      </c>
      <c r="N191" s="6"/>
      <c r="O191" s="5"/>
    </row>
    <row r="192" spans="1:15" x14ac:dyDescent="0.55000000000000004">
      <c r="A192" s="6" t="s">
        <v>25</v>
      </c>
      <c r="B192" s="6">
        <v>10.220000000000001</v>
      </c>
      <c r="C192" s="5">
        <f t="shared" si="13"/>
        <v>5.1300000000000008</v>
      </c>
      <c r="D192" s="5">
        <f t="shared" si="14"/>
        <v>15.31</v>
      </c>
      <c r="E192" s="5">
        <v>10.220000000000001</v>
      </c>
      <c r="F192">
        <v>8</v>
      </c>
      <c r="G192" s="8">
        <v>11</v>
      </c>
      <c r="H192" s="8">
        <v>11</v>
      </c>
      <c r="I192" t="s">
        <v>107</v>
      </c>
      <c r="J192" t="s">
        <v>82</v>
      </c>
      <c r="K192" t="s">
        <v>86</v>
      </c>
      <c r="L192" s="5">
        <v>5.09</v>
      </c>
      <c r="N192" s="6"/>
      <c r="O192" s="5"/>
    </row>
    <row r="193" spans="1:15" x14ac:dyDescent="0.55000000000000004">
      <c r="A193" s="6" t="s">
        <v>28</v>
      </c>
      <c r="B193" s="6">
        <v>11.92</v>
      </c>
      <c r="C193" s="5">
        <f t="shared" si="13"/>
        <v>6.83</v>
      </c>
      <c r="D193" s="5">
        <f t="shared" si="14"/>
        <v>17.009999999999998</v>
      </c>
      <c r="E193" s="5">
        <v>17.010000000000002</v>
      </c>
      <c r="F193">
        <v>9</v>
      </c>
      <c r="G193" s="8">
        <v>17</v>
      </c>
      <c r="H193" s="8">
        <v>8</v>
      </c>
      <c r="I193" t="s">
        <v>107</v>
      </c>
      <c r="J193" t="s">
        <v>82</v>
      </c>
      <c r="K193" t="s">
        <v>86</v>
      </c>
      <c r="L193" s="5">
        <v>5.09</v>
      </c>
      <c r="N193" s="6"/>
      <c r="O193" s="5"/>
    </row>
    <row r="194" spans="1:15" x14ac:dyDescent="0.55000000000000004">
      <c r="A194" s="6" t="s">
        <v>48</v>
      </c>
      <c r="B194" s="6">
        <v>11.93</v>
      </c>
      <c r="C194" s="5">
        <f t="shared" si="13"/>
        <v>6.84</v>
      </c>
      <c r="D194" s="5">
        <f t="shared" si="14"/>
        <v>17.02</v>
      </c>
      <c r="E194" s="5">
        <v>6.84</v>
      </c>
      <c r="F194">
        <v>10</v>
      </c>
      <c r="G194" s="8">
        <v>4</v>
      </c>
      <c r="H194" s="8">
        <v>9</v>
      </c>
      <c r="I194" t="s">
        <v>107</v>
      </c>
      <c r="J194" t="s">
        <v>82</v>
      </c>
      <c r="K194" t="s">
        <v>86</v>
      </c>
      <c r="L194" s="5">
        <v>5.09</v>
      </c>
      <c r="N194" s="6"/>
      <c r="O194" s="5"/>
    </row>
    <row r="195" spans="1:15" x14ac:dyDescent="0.55000000000000004">
      <c r="A195" s="6" t="s">
        <v>44</v>
      </c>
      <c r="B195" s="6">
        <v>12.5</v>
      </c>
      <c r="C195" s="5">
        <f t="shared" si="13"/>
        <v>7.41</v>
      </c>
      <c r="D195" s="5">
        <f t="shared" si="14"/>
        <v>17.59</v>
      </c>
      <c r="E195" s="5">
        <v>7.41</v>
      </c>
      <c r="F195">
        <v>11</v>
      </c>
      <c r="G195" s="8">
        <v>6</v>
      </c>
      <c r="H195" s="8">
        <v>6</v>
      </c>
      <c r="I195" t="s">
        <v>107</v>
      </c>
      <c r="J195" t="s">
        <v>82</v>
      </c>
      <c r="K195" t="s">
        <v>86</v>
      </c>
      <c r="L195" s="5">
        <v>5.09</v>
      </c>
      <c r="N195" s="6"/>
      <c r="O195" s="5"/>
    </row>
    <row r="196" spans="1:15" x14ac:dyDescent="0.55000000000000004">
      <c r="A196" s="6" t="s">
        <v>41</v>
      </c>
      <c r="B196" s="6">
        <v>12.53</v>
      </c>
      <c r="C196" s="5">
        <f t="shared" si="13"/>
        <v>7.4399999999999995</v>
      </c>
      <c r="D196" s="5">
        <f t="shared" si="14"/>
        <v>17.619999999999997</v>
      </c>
      <c r="E196" s="5">
        <v>12.53</v>
      </c>
      <c r="F196">
        <v>12</v>
      </c>
      <c r="G196" s="8">
        <v>12</v>
      </c>
      <c r="H196" s="8">
        <v>3</v>
      </c>
      <c r="I196" t="s">
        <v>107</v>
      </c>
      <c r="J196" t="s">
        <v>82</v>
      </c>
      <c r="K196" t="s">
        <v>86</v>
      </c>
      <c r="L196" s="5">
        <v>5.09</v>
      </c>
      <c r="N196" s="6"/>
      <c r="O196" s="5"/>
    </row>
    <row r="197" spans="1:15" x14ac:dyDescent="0.55000000000000004">
      <c r="A197" s="6" t="s">
        <v>35</v>
      </c>
      <c r="B197" s="6">
        <v>12.98</v>
      </c>
      <c r="C197" s="5">
        <f t="shared" si="13"/>
        <v>7.8900000000000006</v>
      </c>
      <c r="D197" s="5">
        <f t="shared" si="14"/>
        <v>18.07</v>
      </c>
      <c r="E197" s="5">
        <v>7.89</v>
      </c>
      <c r="F197">
        <v>13</v>
      </c>
      <c r="G197" s="8">
        <v>7</v>
      </c>
      <c r="H197" s="8">
        <v>18</v>
      </c>
      <c r="I197" t="s">
        <v>107</v>
      </c>
      <c r="J197" t="s">
        <v>82</v>
      </c>
      <c r="K197" t="s">
        <v>86</v>
      </c>
      <c r="L197" s="5">
        <v>5.09</v>
      </c>
      <c r="N197" s="6"/>
      <c r="O197" s="5"/>
    </row>
    <row r="198" spans="1:15" x14ac:dyDescent="0.55000000000000004">
      <c r="A198" s="6" t="s">
        <v>37</v>
      </c>
      <c r="B198" s="6">
        <v>13.04</v>
      </c>
      <c r="C198" s="5">
        <f t="shared" si="13"/>
        <v>7.9499999999999993</v>
      </c>
      <c r="D198" s="5">
        <f t="shared" si="14"/>
        <v>18.13</v>
      </c>
      <c r="E198" s="5">
        <v>18.13</v>
      </c>
      <c r="F198">
        <v>14</v>
      </c>
      <c r="G198" s="8">
        <v>18</v>
      </c>
      <c r="H198" s="8">
        <v>10</v>
      </c>
      <c r="I198" t="s">
        <v>107</v>
      </c>
      <c r="J198" t="s">
        <v>82</v>
      </c>
      <c r="K198" t="s">
        <v>86</v>
      </c>
      <c r="L198" s="5">
        <v>5.09</v>
      </c>
      <c r="N198" s="6"/>
      <c r="O198" s="5"/>
    </row>
    <row r="199" spans="1:15" x14ac:dyDescent="0.55000000000000004">
      <c r="A199" s="6" t="s">
        <v>45</v>
      </c>
      <c r="B199" s="6">
        <v>13.17</v>
      </c>
      <c r="C199" s="5">
        <f t="shared" si="13"/>
        <v>8.08</v>
      </c>
      <c r="D199" s="5">
        <f t="shared" si="14"/>
        <v>18.259999999999998</v>
      </c>
      <c r="E199" s="5">
        <v>13.17</v>
      </c>
      <c r="F199">
        <v>15</v>
      </c>
      <c r="G199" s="8">
        <v>13</v>
      </c>
      <c r="H199" s="8">
        <v>17</v>
      </c>
      <c r="I199" t="s">
        <v>107</v>
      </c>
      <c r="J199" t="s">
        <v>82</v>
      </c>
      <c r="K199" t="s">
        <v>86</v>
      </c>
      <c r="L199" s="5">
        <v>5.09</v>
      </c>
      <c r="N199" s="6"/>
      <c r="O199" s="5"/>
    </row>
    <row r="200" spans="1:15" x14ac:dyDescent="0.55000000000000004">
      <c r="A200" s="6" t="s">
        <v>32</v>
      </c>
      <c r="B200" s="6">
        <v>13.94</v>
      </c>
      <c r="C200" s="5">
        <f t="shared" si="13"/>
        <v>8.85</v>
      </c>
      <c r="D200" s="5">
        <f t="shared" si="14"/>
        <v>19.03</v>
      </c>
      <c r="E200" s="5">
        <v>19.03</v>
      </c>
      <c r="F200">
        <v>16</v>
      </c>
      <c r="G200" s="8">
        <v>19</v>
      </c>
      <c r="H200" s="8">
        <v>13</v>
      </c>
      <c r="I200" t="s">
        <v>107</v>
      </c>
      <c r="J200" t="s">
        <v>82</v>
      </c>
      <c r="K200" t="s">
        <v>86</v>
      </c>
      <c r="L200" s="5">
        <v>5.09</v>
      </c>
      <c r="N200" s="6"/>
      <c r="O200" s="5"/>
    </row>
    <row r="201" spans="1:15" x14ac:dyDescent="0.55000000000000004">
      <c r="A201" s="6" t="s">
        <v>49</v>
      </c>
      <c r="B201" s="6">
        <v>14.17</v>
      </c>
      <c r="C201" s="5">
        <f t="shared" si="13"/>
        <v>9.08</v>
      </c>
      <c r="D201" s="5">
        <f t="shared" si="14"/>
        <v>19.259999999999998</v>
      </c>
      <c r="E201" s="5">
        <v>19.260000000000002</v>
      </c>
      <c r="F201">
        <v>17</v>
      </c>
      <c r="G201" s="8">
        <v>20</v>
      </c>
      <c r="H201" s="8">
        <v>12</v>
      </c>
      <c r="I201" t="s">
        <v>107</v>
      </c>
      <c r="J201" t="s">
        <v>82</v>
      </c>
      <c r="K201" t="s">
        <v>86</v>
      </c>
      <c r="L201" s="5">
        <v>5.09</v>
      </c>
      <c r="N201" s="6"/>
      <c r="O201" s="5"/>
    </row>
    <row r="202" spans="1:15" x14ac:dyDescent="0.55000000000000004">
      <c r="A202" s="6" t="s">
        <v>30</v>
      </c>
      <c r="B202" s="6">
        <v>14.44</v>
      </c>
      <c r="C202" s="5">
        <f t="shared" si="13"/>
        <v>9.35</v>
      </c>
      <c r="D202" s="5">
        <f t="shared" si="14"/>
        <v>19.53</v>
      </c>
      <c r="E202" s="5">
        <v>19.53</v>
      </c>
      <c r="F202">
        <v>18</v>
      </c>
      <c r="G202" s="8">
        <v>21</v>
      </c>
      <c r="H202" s="8">
        <v>7</v>
      </c>
      <c r="I202" t="s">
        <v>107</v>
      </c>
      <c r="J202" t="s">
        <v>82</v>
      </c>
      <c r="K202" t="s">
        <v>86</v>
      </c>
      <c r="L202" s="5">
        <v>5.09</v>
      </c>
      <c r="N202" s="6"/>
      <c r="O202" s="5"/>
    </row>
    <row r="203" spans="1:15" x14ac:dyDescent="0.55000000000000004">
      <c r="A203" s="6" t="s">
        <v>42</v>
      </c>
      <c r="B203" s="6">
        <v>14.96</v>
      </c>
      <c r="C203" s="5">
        <f t="shared" si="13"/>
        <v>9.870000000000001</v>
      </c>
      <c r="D203" s="5">
        <f t="shared" si="14"/>
        <v>20.05</v>
      </c>
      <c r="E203" s="5">
        <v>20.05</v>
      </c>
      <c r="F203">
        <v>19</v>
      </c>
      <c r="G203" s="8">
        <v>22</v>
      </c>
      <c r="H203" s="8">
        <v>25</v>
      </c>
      <c r="I203" t="s">
        <v>107</v>
      </c>
      <c r="J203" t="s">
        <v>82</v>
      </c>
      <c r="K203" t="s">
        <v>86</v>
      </c>
      <c r="L203" s="5">
        <v>5.09</v>
      </c>
      <c r="N203" s="6"/>
      <c r="O203" s="5"/>
    </row>
    <row r="204" spans="1:15" x14ac:dyDescent="0.55000000000000004">
      <c r="A204" s="6" t="s">
        <v>47</v>
      </c>
      <c r="B204" s="6">
        <v>15.33</v>
      </c>
      <c r="C204" s="5">
        <f t="shared" si="13"/>
        <v>10.24</v>
      </c>
      <c r="D204" s="5">
        <f t="shared" si="14"/>
        <v>20.420000000000002</v>
      </c>
      <c r="E204" s="5">
        <v>15.33</v>
      </c>
      <c r="F204">
        <v>20</v>
      </c>
      <c r="G204" s="8">
        <v>14</v>
      </c>
      <c r="H204" s="8">
        <v>15</v>
      </c>
      <c r="I204" t="s">
        <v>107</v>
      </c>
      <c r="J204" t="s">
        <v>82</v>
      </c>
      <c r="K204" t="s">
        <v>86</v>
      </c>
      <c r="L204" s="5">
        <v>5.09</v>
      </c>
      <c r="N204" s="6"/>
      <c r="O204" s="5"/>
    </row>
    <row r="205" spans="1:15" x14ac:dyDescent="0.55000000000000004">
      <c r="A205" s="6" t="s">
        <v>31</v>
      </c>
      <c r="B205" s="6">
        <v>16.46</v>
      </c>
      <c r="C205" s="5">
        <f t="shared" si="13"/>
        <v>11.370000000000001</v>
      </c>
      <c r="D205" s="5">
        <f t="shared" si="14"/>
        <v>21.55</v>
      </c>
      <c r="E205" s="5">
        <v>16.46</v>
      </c>
      <c r="F205">
        <v>21</v>
      </c>
      <c r="G205" s="8">
        <v>15</v>
      </c>
      <c r="H205" s="8">
        <v>20</v>
      </c>
      <c r="I205" t="s">
        <v>107</v>
      </c>
      <c r="J205" t="s">
        <v>82</v>
      </c>
      <c r="K205" t="s">
        <v>86</v>
      </c>
      <c r="L205" s="5">
        <v>5.09</v>
      </c>
      <c r="N205" s="6"/>
      <c r="O205" s="5"/>
    </row>
    <row r="206" spans="1:15" x14ac:dyDescent="0.55000000000000004">
      <c r="A206" s="6" t="s">
        <v>29</v>
      </c>
      <c r="B206" s="6">
        <v>16.46</v>
      </c>
      <c r="C206" s="5">
        <f t="shared" si="13"/>
        <v>11.370000000000001</v>
      </c>
      <c r="D206" s="5">
        <f t="shared" si="14"/>
        <v>21.55</v>
      </c>
      <c r="E206" s="5">
        <v>21.55</v>
      </c>
      <c r="F206">
        <v>22</v>
      </c>
      <c r="G206" s="8">
        <v>23</v>
      </c>
      <c r="H206" s="8">
        <v>23</v>
      </c>
      <c r="I206" t="s">
        <v>107</v>
      </c>
      <c r="J206" t="s">
        <v>82</v>
      </c>
      <c r="K206" t="s">
        <v>86</v>
      </c>
      <c r="L206" s="5">
        <v>5.09</v>
      </c>
      <c r="N206" s="6"/>
      <c r="O206" s="5"/>
    </row>
    <row r="207" spans="1:15" x14ac:dyDescent="0.55000000000000004">
      <c r="A207" s="6" t="s">
        <v>26</v>
      </c>
      <c r="B207" s="6">
        <v>17</v>
      </c>
      <c r="C207" s="5">
        <f>B207-L207</f>
        <v>11.91</v>
      </c>
      <c r="D207" s="5">
        <f t="shared" si="14"/>
        <v>22.09</v>
      </c>
      <c r="E207" s="5">
        <v>17</v>
      </c>
      <c r="F207">
        <v>23</v>
      </c>
      <c r="G207" s="8">
        <v>16</v>
      </c>
      <c r="H207" s="8">
        <v>16</v>
      </c>
      <c r="I207" t="s">
        <v>107</v>
      </c>
      <c r="J207" t="s">
        <v>82</v>
      </c>
      <c r="K207" t="s">
        <v>86</v>
      </c>
      <c r="L207" s="5">
        <v>5.09</v>
      </c>
      <c r="N207" s="6"/>
      <c r="O207" s="5"/>
    </row>
    <row r="208" spans="1:15" x14ac:dyDescent="0.55000000000000004">
      <c r="A208" s="6" t="s">
        <v>46</v>
      </c>
      <c r="B208" s="6">
        <v>18.05</v>
      </c>
      <c r="C208" s="5">
        <f t="shared" si="13"/>
        <v>12.96</v>
      </c>
      <c r="D208" s="5">
        <f t="shared" si="14"/>
        <v>23.14</v>
      </c>
      <c r="E208" s="5">
        <v>23.14</v>
      </c>
      <c r="F208">
        <v>24</v>
      </c>
      <c r="G208" s="8">
        <v>24</v>
      </c>
      <c r="H208" s="8">
        <v>21</v>
      </c>
      <c r="I208" t="s">
        <v>107</v>
      </c>
      <c r="J208" t="s">
        <v>82</v>
      </c>
      <c r="K208" t="s">
        <v>86</v>
      </c>
      <c r="L208" s="5">
        <v>5.09</v>
      </c>
      <c r="N208" s="6"/>
      <c r="O208" s="5"/>
    </row>
    <row r="209" spans="1:15" x14ac:dyDescent="0.55000000000000004">
      <c r="A209" s="6" t="s">
        <v>43</v>
      </c>
      <c r="B209" s="6">
        <v>18.079999999999998</v>
      </c>
      <c r="C209" s="5">
        <f t="shared" si="13"/>
        <v>12.989999999999998</v>
      </c>
      <c r="D209" s="5">
        <f t="shared" si="14"/>
        <v>23.169999999999998</v>
      </c>
      <c r="E209" s="5">
        <v>23.17</v>
      </c>
      <c r="F209">
        <v>25</v>
      </c>
      <c r="G209" s="8">
        <v>25</v>
      </c>
      <c r="H209" s="8">
        <v>14</v>
      </c>
      <c r="I209" t="s">
        <v>107</v>
      </c>
      <c r="J209" t="s">
        <v>82</v>
      </c>
      <c r="K209" t="s">
        <v>86</v>
      </c>
      <c r="L209" s="5">
        <v>5.09</v>
      </c>
      <c r="N209" s="6"/>
      <c r="O209" s="5"/>
    </row>
    <row r="210" spans="1:15" x14ac:dyDescent="0.55000000000000004">
      <c r="A210" s="6" t="s">
        <v>35</v>
      </c>
      <c r="B210" s="6">
        <v>8.33</v>
      </c>
      <c r="C210" s="5">
        <f>B210-L210</f>
        <v>3.24</v>
      </c>
      <c r="D210" s="5">
        <f>B210+L210</f>
        <v>13.42</v>
      </c>
      <c r="E210" s="5">
        <v>3.24</v>
      </c>
      <c r="F210">
        <v>1</v>
      </c>
      <c r="G210" s="8">
        <v>1</v>
      </c>
      <c r="H210" s="8">
        <v>7</v>
      </c>
      <c r="I210" t="s">
        <v>108</v>
      </c>
      <c r="J210" t="s">
        <v>85</v>
      </c>
      <c r="K210" t="s">
        <v>86</v>
      </c>
      <c r="L210" s="5">
        <v>5.09</v>
      </c>
      <c r="N210" s="6"/>
      <c r="O210" s="5"/>
    </row>
    <row r="211" spans="1:15" x14ac:dyDescent="0.55000000000000004">
      <c r="A211" s="6" t="s">
        <v>39</v>
      </c>
      <c r="B211" s="6">
        <v>8.34</v>
      </c>
      <c r="C211" s="5">
        <f t="shared" ref="C211:C234" si="15">B211-L211</f>
        <v>3.25</v>
      </c>
      <c r="D211" s="5">
        <f t="shared" ref="D211:D234" si="16">B211+L211</f>
        <v>13.43</v>
      </c>
      <c r="E211" s="5">
        <v>3.25</v>
      </c>
      <c r="F211">
        <v>2</v>
      </c>
      <c r="G211" s="8">
        <v>2</v>
      </c>
      <c r="H211" s="8">
        <v>17</v>
      </c>
      <c r="I211" t="s">
        <v>108</v>
      </c>
      <c r="J211" t="s">
        <v>85</v>
      </c>
      <c r="K211" t="s">
        <v>86</v>
      </c>
      <c r="L211" s="5">
        <v>5.09</v>
      </c>
      <c r="N211" s="6"/>
      <c r="O211" s="5"/>
    </row>
    <row r="212" spans="1:15" x14ac:dyDescent="0.55000000000000004">
      <c r="A212" s="6" t="s">
        <v>27</v>
      </c>
      <c r="B212" s="6">
        <v>9.3800000000000008</v>
      </c>
      <c r="C212" s="5">
        <f t="shared" si="15"/>
        <v>4.2900000000000009</v>
      </c>
      <c r="D212" s="5">
        <f t="shared" si="16"/>
        <v>14.47</v>
      </c>
      <c r="E212" s="5">
        <v>9.3800000000000008</v>
      </c>
      <c r="F212">
        <v>3</v>
      </c>
      <c r="G212" s="8">
        <v>5</v>
      </c>
      <c r="H212" s="8">
        <v>12</v>
      </c>
      <c r="I212" t="s">
        <v>108</v>
      </c>
      <c r="J212" t="s">
        <v>85</v>
      </c>
      <c r="K212" t="s">
        <v>86</v>
      </c>
      <c r="L212" s="5">
        <v>5.09</v>
      </c>
      <c r="N212" s="6"/>
      <c r="O212" s="5"/>
    </row>
    <row r="213" spans="1:15" x14ac:dyDescent="0.55000000000000004">
      <c r="A213" s="6" t="s">
        <v>36</v>
      </c>
      <c r="B213" s="6">
        <v>9.51</v>
      </c>
      <c r="C213" s="5">
        <f t="shared" si="15"/>
        <v>4.42</v>
      </c>
      <c r="D213" s="5">
        <f t="shared" si="16"/>
        <v>14.6</v>
      </c>
      <c r="E213" s="5">
        <v>9.51</v>
      </c>
      <c r="F213">
        <v>4</v>
      </c>
      <c r="G213" s="8">
        <v>7</v>
      </c>
      <c r="H213" s="8">
        <v>5</v>
      </c>
      <c r="I213" t="s">
        <v>108</v>
      </c>
      <c r="J213" t="s">
        <v>85</v>
      </c>
      <c r="K213" t="s">
        <v>86</v>
      </c>
      <c r="L213" s="5">
        <v>5.09</v>
      </c>
      <c r="N213" s="6"/>
      <c r="O213" s="5"/>
    </row>
    <row r="214" spans="1:15" x14ac:dyDescent="0.55000000000000004">
      <c r="A214" s="6" t="s">
        <v>37</v>
      </c>
      <c r="B214" s="6">
        <v>10.24</v>
      </c>
      <c r="C214" s="5">
        <f t="shared" si="15"/>
        <v>5.15</v>
      </c>
      <c r="D214" s="5">
        <f t="shared" si="16"/>
        <v>15.33</v>
      </c>
      <c r="E214" s="5">
        <v>10.24</v>
      </c>
      <c r="F214">
        <v>5</v>
      </c>
      <c r="G214" s="8">
        <v>8</v>
      </c>
      <c r="H214" s="8">
        <v>1</v>
      </c>
      <c r="I214" t="s">
        <v>108</v>
      </c>
      <c r="J214" t="s">
        <v>85</v>
      </c>
      <c r="K214" t="s">
        <v>86</v>
      </c>
      <c r="L214" s="5">
        <v>5.09</v>
      </c>
      <c r="N214" s="6"/>
      <c r="O214" s="5"/>
    </row>
    <row r="215" spans="1:15" x14ac:dyDescent="0.55000000000000004">
      <c r="A215" s="6" t="s">
        <v>44</v>
      </c>
      <c r="B215" s="6">
        <v>10.34</v>
      </c>
      <c r="C215" s="5">
        <f t="shared" si="15"/>
        <v>5.25</v>
      </c>
      <c r="D215" s="5">
        <f t="shared" si="16"/>
        <v>15.43</v>
      </c>
      <c r="E215" s="5">
        <v>10.34</v>
      </c>
      <c r="F215">
        <v>6</v>
      </c>
      <c r="G215" s="8">
        <v>9</v>
      </c>
      <c r="H215" s="8">
        <v>14</v>
      </c>
      <c r="I215" t="s">
        <v>108</v>
      </c>
      <c r="J215" t="s">
        <v>85</v>
      </c>
      <c r="K215" t="s">
        <v>86</v>
      </c>
      <c r="L215" s="5">
        <v>5.09</v>
      </c>
      <c r="N215" s="6"/>
      <c r="O215" s="5"/>
    </row>
    <row r="216" spans="1:15" x14ac:dyDescent="0.55000000000000004">
      <c r="A216" s="6" t="s">
        <v>33</v>
      </c>
      <c r="B216" s="6">
        <v>11.03</v>
      </c>
      <c r="C216" s="5">
        <f t="shared" si="15"/>
        <v>5.9399999999999995</v>
      </c>
      <c r="D216" s="5">
        <f t="shared" si="16"/>
        <v>16.119999999999997</v>
      </c>
      <c r="E216" s="5">
        <v>11.03</v>
      </c>
      <c r="F216">
        <v>7</v>
      </c>
      <c r="G216" s="8">
        <v>10</v>
      </c>
      <c r="H216" s="8">
        <v>6</v>
      </c>
      <c r="I216" t="s">
        <v>108</v>
      </c>
      <c r="J216" t="s">
        <v>85</v>
      </c>
      <c r="K216" t="s">
        <v>86</v>
      </c>
      <c r="L216" s="5">
        <v>5.09</v>
      </c>
      <c r="N216" s="6"/>
      <c r="O216" s="5"/>
    </row>
    <row r="217" spans="1:15" x14ac:dyDescent="0.55000000000000004">
      <c r="A217" s="6" t="s">
        <v>38</v>
      </c>
      <c r="B217" s="6">
        <v>11.04</v>
      </c>
      <c r="C217" s="5">
        <f t="shared" si="15"/>
        <v>5.9499999999999993</v>
      </c>
      <c r="D217" s="5">
        <f t="shared" si="16"/>
        <v>16.13</v>
      </c>
      <c r="E217" s="5">
        <v>5.95</v>
      </c>
      <c r="F217">
        <v>8</v>
      </c>
      <c r="G217" s="8">
        <v>3</v>
      </c>
      <c r="H217" s="8">
        <v>11</v>
      </c>
      <c r="I217" t="s">
        <v>108</v>
      </c>
      <c r="J217" t="s">
        <v>85</v>
      </c>
      <c r="K217" t="s">
        <v>86</v>
      </c>
      <c r="L217" s="5">
        <v>5.09</v>
      </c>
      <c r="N217" s="6"/>
      <c r="O217" s="5"/>
    </row>
    <row r="218" spans="1:15" x14ac:dyDescent="0.55000000000000004">
      <c r="A218" s="6" t="s">
        <v>25</v>
      </c>
      <c r="B218" s="6">
        <v>11.15</v>
      </c>
      <c r="C218" s="5">
        <f t="shared" si="15"/>
        <v>6.0600000000000005</v>
      </c>
      <c r="D218" s="5">
        <f t="shared" si="16"/>
        <v>16.240000000000002</v>
      </c>
      <c r="E218" s="5">
        <v>6.06</v>
      </c>
      <c r="F218">
        <v>9</v>
      </c>
      <c r="G218" s="8">
        <v>4</v>
      </c>
      <c r="H218" s="8">
        <v>9</v>
      </c>
      <c r="I218" t="s">
        <v>108</v>
      </c>
      <c r="J218" t="s">
        <v>85</v>
      </c>
      <c r="K218" t="s">
        <v>86</v>
      </c>
      <c r="L218" s="5">
        <v>5.09</v>
      </c>
      <c r="N218" s="6"/>
      <c r="O218" s="5"/>
    </row>
    <row r="219" spans="1:15" x14ac:dyDescent="0.55000000000000004">
      <c r="A219" s="6" t="s">
        <v>29</v>
      </c>
      <c r="B219" s="6">
        <v>12.24</v>
      </c>
      <c r="C219" s="5">
        <f t="shared" si="15"/>
        <v>7.15</v>
      </c>
      <c r="D219" s="5">
        <f t="shared" si="16"/>
        <v>17.329999999999998</v>
      </c>
      <c r="E219" s="5">
        <v>12.24</v>
      </c>
      <c r="F219">
        <v>10</v>
      </c>
      <c r="G219" s="8">
        <v>12</v>
      </c>
      <c r="H219" s="8">
        <v>13</v>
      </c>
      <c r="I219" t="s">
        <v>108</v>
      </c>
      <c r="J219" t="s">
        <v>85</v>
      </c>
      <c r="K219" t="s">
        <v>86</v>
      </c>
      <c r="L219" s="5">
        <v>5.09</v>
      </c>
      <c r="N219" s="6"/>
      <c r="O219" s="5"/>
    </row>
    <row r="220" spans="1:15" x14ac:dyDescent="0.55000000000000004">
      <c r="A220" s="6" t="s">
        <v>45</v>
      </c>
      <c r="B220" s="6">
        <v>12.83</v>
      </c>
      <c r="C220" s="5">
        <f t="shared" si="15"/>
        <v>7.74</v>
      </c>
      <c r="D220" s="5">
        <f t="shared" si="16"/>
        <v>17.920000000000002</v>
      </c>
      <c r="E220" s="5">
        <v>12.83</v>
      </c>
      <c r="F220">
        <v>11</v>
      </c>
      <c r="G220">
        <v>13</v>
      </c>
      <c r="H220" s="8">
        <v>18</v>
      </c>
      <c r="I220" t="s">
        <v>108</v>
      </c>
      <c r="J220" t="s">
        <v>85</v>
      </c>
      <c r="K220" t="s">
        <v>86</v>
      </c>
      <c r="L220" s="5">
        <v>5.09</v>
      </c>
      <c r="N220" s="6"/>
      <c r="O220" s="5"/>
    </row>
    <row r="221" spans="1:15" x14ac:dyDescent="0.55000000000000004">
      <c r="A221" s="6" t="s">
        <v>34</v>
      </c>
      <c r="B221" s="6">
        <v>13.75</v>
      </c>
      <c r="C221" s="5">
        <f t="shared" si="15"/>
        <v>8.66</v>
      </c>
      <c r="D221" s="5">
        <f t="shared" si="16"/>
        <v>18.84</v>
      </c>
      <c r="E221" s="5">
        <v>18.84</v>
      </c>
      <c r="F221">
        <v>12</v>
      </c>
      <c r="G221" s="8">
        <v>21</v>
      </c>
      <c r="H221" s="8">
        <v>10</v>
      </c>
      <c r="I221" t="s">
        <v>108</v>
      </c>
      <c r="J221" t="s">
        <v>85</v>
      </c>
      <c r="K221" t="s">
        <v>86</v>
      </c>
      <c r="L221" s="5">
        <v>5.09</v>
      </c>
      <c r="N221" s="6"/>
      <c r="O221" s="5"/>
    </row>
    <row r="222" spans="1:15" x14ac:dyDescent="0.55000000000000004">
      <c r="A222" s="6" t="s">
        <v>49</v>
      </c>
      <c r="B222" s="6">
        <v>13.87</v>
      </c>
      <c r="C222" s="5">
        <f t="shared" si="15"/>
        <v>8.7799999999999994</v>
      </c>
      <c r="D222" s="5">
        <f t="shared" si="16"/>
        <v>18.96</v>
      </c>
      <c r="E222" s="5">
        <v>13.87</v>
      </c>
      <c r="F222">
        <v>13</v>
      </c>
      <c r="G222" s="8">
        <v>14</v>
      </c>
      <c r="H222" s="8">
        <v>4</v>
      </c>
      <c r="I222" t="s">
        <v>108</v>
      </c>
      <c r="J222" t="s">
        <v>85</v>
      </c>
      <c r="K222" t="s">
        <v>86</v>
      </c>
      <c r="L222" s="5">
        <v>5.09</v>
      </c>
      <c r="N222" s="6"/>
      <c r="O222" s="5"/>
    </row>
    <row r="223" spans="1:15" x14ac:dyDescent="0.55000000000000004">
      <c r="A223" s="6" t="s">
        <v>48</v>
      </c>
      <c r="B223" s="6">
        <v>14.05</v>
      </c>
      <c r="C223" s="5">
        <f t="shared" si="15"/>
        <v>8.9600000000000009</v>
      </c>
      <c r="D223" s="5">
        <f t="shared" si="16"/>
        <v>19.14</v>
      </c>
      <c r="E223" s="5">
        <v>19.14</v>
      </c>
      <c r="F223">
        <v>14</v>
      </c>
      <c r="G223" s="8">
        <v>22</v>
      </c>
      <c r="H223" s="8">
        <v>21</v>
      </c>
      <c r="I223" t="s">
        <v>108</v>
      </c>
      <c r="J223" t="s">
        <v>85</v>
      </c>
      <c r="K223" t="s">
        <v>86</v>
      </c>
      <c r="L223" s="5">
        <v>5.09</v>
      </c>
      <c r="N223" s="6"/>
      <c r="O223" s="5"/>
    </row>
    <row r="224" spans="1:15" x14ac:dyDescent="0.55000000000000004">
      <c r="A224" s="6" t="s">
        <v>41</v>
      </c>
      <c r="B224" s="6">
        <v>14.33</v>
      </c>
      <c r="C224" s="5">
        <f t="shared" si="15"/>
        <v>9.24</v>
      </c>
      <c r="D224" s="5">
        <f t="shared" si="16"/>
        <v>19.420000000000002</v>
      </c>
      <c r="E224" s="5">
        <v>14.33</v>
      </c>
      <c r="F224">
        <v>15</v>
      </c>
      <c r="G224" s="8">
        <v>15</v>
      </c>
      <c r="H224" s="8">
        <v>23</v>
      </c>
      <c r="I224" t="s">
        <v>108</v>
      </c>
      <c r="J224" t="s">
        <v>85</v>
      </c>
      <c r="K224" t="s">
        <v>86</v>
      </c>
      <c r="L224" s="5">
        <v>5.09</v>
      </c>
      <c r="N224" s="6"/>
      <c r="O224" s="5"/>
    </row>
    <row r="225" spans="1:15" x14ac:dyDescent="0.55000000000000004">
      <c r="A225" s="6" t="s">
        <v>42</v>
      </c>
      <c r="B225" s="6">
        <v>14.57</v>
      </c>
      <c r="C225" s="5">
        <f t="shared" si="15"/>
        <v>9.48</v>
      </c>
      <c r="D225" s="5">
        <f t="shared" si="16"/>
        <v>19.66</v>
      </c>
      <c r="E225" s="5">
        <v>9.48</v>
      </c>
      <c r="F225">
        <v>16</v>
      </c>
      <c r="G225" s="8">
        <v>6</v>
      </c>
      <c r="H225" s="8">
        <v>3</v>
      </c>
      <c r="I225" t="s">
        <v>108</v>
      </c>
      <c r="J225" t="s">
        <v>85</v>
      </c>
      <c r="K225" t="s">
        <v>86</v>
      </c>
      <c r="L225" s="5">
        <v>5.09</v>
      </c>
      <c r="N225" s="6"/>
      <c r="O225" s="5"/>
    </row>
    <row r="226" spans="1:15" x14ac:dyDescent="0.55000000000000004">
      <c r="A226" s="6" t="s">
        <v>40</v>
      </c>
      <c r="B226" s="6">
        <v>14.59</v>
      </c>
      <c r="C226" s="5">
        <f t="shared" si="15"/>
        <v>9.5</v>
      </c>
      <c r="D226" s="5">
        <f t="shared" si="16"/>
        <v>19.68</v>
      </c>
      <c r="E226" s="5">
        <v>14.59</v>
      </c>
      <c r="F226">
        <v>17</v>
      </c>
      <c r="G226" s="8">
        <v>16</v>
      </c>
      <c r="H226" s="8">
        <v>8</v>
      </c>
      <c r="I226" t="s">
        <v>108</v>
      </c>
      <c r="J226" t="s">
        <v>85</v>
      </c>
      <c r="K226" t="s">
        <v>86</v>
      </c>
      <c r="L226" s="5">
        <v>5.09</v>
      </c>
      <c r="N226" s="6"/>
      <c r="O226" s="5"/>
    </row>
    <row r="227" spans="1:15" x14ac:dyDescent="0.55000000000000004">
      <c r="A227" s="6" t="s">
        <v>28</v>
      </c>
      <c r="B227" s="6">
        <v>14.63</v>
      </c>
      <c r="C227" s="5">
        <f t="shared" si="15"/>
        <v>9.5400000000000009</v>
      </c>
      <c r="D227" s="5">
        <f t="shared" si="16"/>
        <v>19.72</v>
      </c>
      <c r="E227" s="5">
        <v>14.63</v>
      </c>
      <c r="F227">
        <v>18</v>
      </c>
      <c r="G227" s="8">
        <v>17</v>
      </c>
      <c r="H227" s="8">
        <v>2</v>
      </c>
      <c r="I227" t="s">
        <v>108</v>
      </c>
      <c r="J227" t="s">
        <v>85</v>
      </c>
      <c r="K227" t="s">
        <v>86</v>
      </c>
      <c r="L227" s="5">
        <v>5.09</v>
      </c>
      <c r="N227" s="6"/>
      <c r="O227" s="5"/>
    </row>
    <row r="228" spans="1:15" x14ac:dyDescent="0.55000000000000004">
      <c r="A228" s="6" t="s">
        <v>30</v>
      </c>
      <c r="B228" s="6">
        <v>14.98</v>
      </c>
      <c r="C228" s="5">
        <f t="shared" si="15"/>
        <v>9.89</v>
      </c>
      <c r="D228" s="5">
        <f t="shared" si="16"/>
        <v>20.07</v>
      </c>
      <c r="E228" s="5">
        <v>20.07</v>
      </c>
      <c r="F228">
        <v>19</v>
      </c>
      <c r="G228" s="8">
        <v>23</v>
      </c>
      <c r="H228" s="8">
        <v>20</v>
      </c>
      <c r="I228" t="s">
        <v>108</v>
      </c>
      <c r="J228" t="s">
        <v>85</v>
      </c>
      <c r="K228" t="s">
        <v>86</v>
      </c>
      <c r="L228" s="5">
        <v>5.09</v>
      </c>
      <c r="N228" s="6"/>
      <c r="O228" s="5"/>
    </row>
    <row r="229" spans="1:15" x14ac:dyDescent="0.55000000000000004">
      <c r="A229" s="6" t="s">
        <v>46</v>
      </c>
      <c r="B229" s="6">
        <v>14.98</v>
      </c>
      <c r="C229" s="5">
        <f t="shared" si="15"/>
        <v>9.89</v>
      </c>
      <c r="D229" s="5">
        <f t="shared" si="16"/>
        <v>20.07</v>
      </c>
      <c r="E229" s="5">
        <v>14.98</v>
      </c>
      <c r="F229">
        <v>20</v>
      </c>
      <c r="G229" s="8">
        <v>18</v>
      </c>
      <c r="H229" s="8">
        <v>16</v>
      </c>
      <c r="I229" t="s">
        <v>108</v>
      </c>
      <c r="J229" t="s">
        <v>85</v>
      </c>
      <c r="K229" t="s">
        <v>86</v>
      </c>
      <c r="L229" s="5">
        <v>5.09</v>
      </c>
      <c r="N229" s="6"/>
      <c r="O229" s="5"/>
    </row>
    <row r="230" spans="1:15" x14ac:dyDescent="0.55000000000000004">
      <c r="A230" s="6" t="s">
        <v>47</v>
      </c>
      <c r="B230" s="6">
        <v>15.75</v>
      </c>
      <c r="C230" s="5">
        <f t="shared" si="15"/>
        <v>10.66</v>
      </c>
      <c r="D230" s="5">
        <f t="shared" si="16"/>
        <v>20.84</v>
      </c>
      <c r="E230" s="5">
        <v>15.75</v>
      </c>
      <c r="F230">
        <v>21</v>
      </c>
      <c r="G230" s="8">
        <v>19</v>
      </c>
      <c r="H230" s="8">
        <v>24</v>
      </c>
      <c r="I230" t="s">
        <v>108</v>
      </c>
      <c r="J230" t="s">
        <v>85</v>
      </c>
      <c r="K230" t="s">
        <v>86</v>
      </c>
      <c r="L230" s="5">
        <v>5.09</v>
      </c>
      <c r="N230" s="6"/>
      <c r="O230" s="5"/>
    </row>
    <row r="231" spans="1:15" x14ac:dyDescent="0.55000000000000004">
      <c r="A231" s="6" t="s">
        <v>26</v>
      </c>
      <c r="B231" s="6">
        <v>16.239999999999998</v>
      </c>
      <c r="C231" s="5">
        <f t="shared" si="15"/>
        <v>11.149999999999999</v>
      </c>
      <c r="D231" s="5">
        <f t="shared" si="16"/>
        <v>21.33</v>
      </c>
      <c r="E231" s="5">
        <v>11.15</v>
      </c>
      <c r="F231">
        <v>22</v>
      </c>
      <c r="G231" s="8">
        <v>11</v>
      </c>
      <c r="H231" s="8">
        <v>22</v>
      </c>
      <c r="I231" t="s">
        <v>108</v>
      </c>
      <c r="J231" t="s">
        <v>85</v>
      </c>
      <c r="K231" t="s">
        <v>86</v>
      </c>
      <c r="L231" s="5">
        <v>5.09</v>
      </c>
      <c r="N231" s="6"/>
      <c r="O231" s="5"/>
    </row>
    <row r="232" spans="1:15" x14ac:dyDescent="0.55000000000000004">
      <c r="A232" s="6" t="s">
        <v>43</v>
      </c>
      <c r="B232" s="6">
        <v>16.5</v>
      </c>
      <c r="C232" s="5">
        <f t="shared" si="15"/>
        <v>11.41</v>
      </c>
      <c r="D232" s="5">
        <f t="shared" si="16"/>
        <v>21.59</v>
      </c>
      <c r="E232" s="5">
        <v>21.59</v>
      </c>
      <c r="F232">
        <v>23</v>
      </c>
      <c r="G232" s="8">
        <v>24</v>
      </c>
      <c r="H232" s="8">
        <v>19</v>
      </c>
      <c r="I232" t="s">
        <v>108</v>
      </c>
      <c r="J232" t="s">
        <v>85</v>
      </c>
      <c r="K232" t="s">
        <v>86</v>
      </c>
      <c r="L232" s="5">
        <v>5.09</v>
      </c>
      <c r="N232" s="6"/>
      <c r="O232" s="5"/>
    </row>
    <row r="233" spans="1:15" x14ac:dyDescent="0.55000000000000004">
      <c r="A233" s="6" t="s">
        <v>31</v>
      </c>
      <c r="B233" s="6">
        <v>16.55</v>
      </c>
      <c r="C233" s="5">
        <f>B233-L233</f>
        <v>11.46</v>
      </c>
      <c r="D233" s="5">
        <f t="shared" si="16"/>
        <v>21.64</v>
      </c>
      <c r="E233" s="5">
        <v>16.55</v>
      </c>
      <c r="F233">
        <v>24</v>
      </c>
      <c r="G233" s="8">
        <v>20</v>
      </c>
      <c r="H233" s="8">
        <v>15</v>
      </c>
      <c r="I233" t="s">
        <v>108</v>
      </c>
      <c r="J233" t="s">
        <v>85</v>
      </c>
      <c r="K233" t="s">
        <v>86</v>
      </c>
      <c r="L233" s="5">
        <v>5.09</v>
      </c>
      <c r="N233" s="6"/>
      <c r="O233" s="5"/>
    </row>
    <row r="234" spans="1:15" x14ac:dyDescent="0.55000000000000004">
      <c r="A234" s="6" t="s">
        <v>32</v>
      </c>
      <c r="B234" s="6">
        <v>16.55</v>
      </c>
      <c r="C234" s="5">
        <f t="shared" si="15"/>
        <v>11.46</v>
      </c>
      <c r="D234" s="5">
        <f t="shared" si="16"/>
        <v>21.64</v>
      </c>
      <c r="E234" s="5">
        <v>21.64</v>
      </c>
      <c r="F234">
        <v>25</v>
      </c>
      <c r="G234" s="8">
        <v>25</v>
      </c>
      <c r="H234" s="8">
        <v>25</v>
      </c>
      <c r="I234" t="s">
        <v>108</v>
      </c>
      <c r="J234" t="s">
        <v>85</v>
      </c>
      <c r="K234" t="s">
        <v>86</v>
      </c>
      <c r="L234" s="5">
        <v>5.09</v>
      </c>
      <c r="N234" s="6"/>
      <c r="O234" s="5"/>
    </row>
    <row r="235" spans="1:15" x14ac:dyDescent="0.55000000000000004">
      <c r="A235" s="6" t="s">
        <v>36</v>
      </c>
      <c r="B235" s="6">
        <v>8.65</v>
      </c>
      <c r="C235" s="5">
        <f>B235-L235</f>
        <v>3.5600000000000005</v>
      </c>
      <c r="D235" s="5">
        <f>B235+L235</f>
        <v>13.74</v>
      </c>
      <c r="E235" s="5">
        <v>8.65</v>
      </c>
      <c r="F235">
        <v>1</v>
      </c>
      <c r="G235" s="8">
        <v>6</v>
      </c>
      <c r="H235" s="8">
        <v>4</v>
      </c>
      <c r="I235" t="s">
        <v>109</v>
      </c>
      <c r="J235" t="s">
        <v>85</v>
      </c>
      <c r="K235" t="s">
        <v>86</v>
      </c>
      <c r="L235" s="5">
        <v>5.09</v>
      </c>
      <c r="N235" s="6"/>
      <c r="O235" s="5"/>
    </row>
    <row r="236" spans="1:15" x14ac:dyDescent="0.55000000000000004">
      <c r="A236" s="6" t="s">
        <v>37</v>
      </c>
      <c r="B236" s="6">
        <v>8.69</v>
      </c>
      <c r="C236" s="5">
        <f t="shared" ref="C236:C259" si="17">B236-L236</f>
        <v>3.5999999999999996</v>
      </c>
      <c r="D236" s="5">
        <f t="shared" ref="D236:D259" si="18">B236+L236</f>
        <v>13.78</v>
      </c>
      <c r="E236" s="5">
        <v>3.6</v>
      </c>
      <c r="F236">
        <v>2</v>
      </c>
      <c r="G236" s="8">
        <v>1</v>
      </c>
      <c r="H236" s="8">
        <v>2</v>
      </c>
      <c r="I236" t="s">
        <v>109</v>
      </c>
      <c r="J236" t="s">
        <v>85</v>
      </c>
      <c r="K236" t="s">
        <v>86</v>
      </c>
      <c r="L236" s="5">
        <v>5.09</v>
      </c>
      <c r="N236" s="6"/>
      <c r="O236" s="5"/>
    </row>
    <row r="237" spans="1:15" x14ac:dyDescent="0.55000000000000004">
      <c r="A237" s="6" t="s">
        <v>33</v>
      </c>
      <c r="B237" s="6">
        <v>8.85</v>
      </c>
      <c r="C237" s="5">
        <f t="shared" si="17"/>
        <v>3.76</v>
      </c>
      <c r="D237" s="5">
        <f t="shared" si="18"/>
        <v>13.94</v>
      </c>
      <c r="E237" s="5">
        <v>3.76</v>
      </c>
      <c r="F237">
        <v>3</v>
      </c>
      <c r="G237" s="8">
        <v>2</v>
      </c>
      <c r="H237" s="8">
        <v>10</v>
      </c>
      <c r="I237" t="s">
        <v>109</v>
      </c>
      <c r="J237" t="s">
        <v>85</v>
      </c>
      <c r="K237" t="s">
        <v>86</v>
      </c>
      <c r="L237" s="5">
        <v>5.09</v>
      </c>
      <c r="N237" s="6"/>
      <c r="O237" s="5"/>
    </row>
    <row r="238" spans="1:15" x14ac:dyDescent="0.55000000000000004">
      <c r="A238" s="6" t="s">
        <v>39</v>
      </c>
      <c r="B238" s="6">
        <v>9.5</v>
      </c>
      <c r="C238" s="5">
        <f t="shared" si="17"/>
        <v>4.41</v>
      </c>
      <c r="D238" s="5">
        <f t="shared" si="18"/>
        <v>14.59</v>
      </c>
      <c r="E238" s="5">
        <v>9.5</v>
      </c>
      <c r="F238">
        <v>4</v>
      </c>
      <c r="G238" s="8">
        <v>7</v>
      </c>
      <c r="H238" s="8">
        <v>1</v>
      </c>
      <c r="I238" t="s">
        <v>109</v>
      </c>
      <c r="J238" t="s">
        <v>85</v>
      </c>
      <c r="K238" t="s">
        <v>86</v>
      </c>
      <c r="L238" s="5">
        <v>5.09</v>
      </c>
      <c r="N238" s="6"/>
      <c r="O238" s="5"/>
    </row>
    <row r="239" spans="1:15" x14ac:dyDescent="0.55000000000000004">
      <c r="A239" s="6" t="s">
        <v>27</v>
      </c>
      <c r="B239" s="6">
        <v>11.32</v>
      </c>
      <c r="C239" s="5">
        <f t="shared" si="17"/>
        <v>6.23</v>
      </c>
      <c r="D239" s="5">
        <f t="shared" si="18"/>
        <v>16.41</v>
      </c>
      <c r="E239" s="5">
        <v>11.32</v>
      </c>
      <c r="F239">
        <v>5</v>
      </c>
      <c r="G239" s="8">
        <v>10</v>
      </c>
      <c r="H239" s="8">
        <v>18</v>
      </c>
      <c r="I239" t="s">
        <v>109</v>
      </c>
      <c r="J239" t="s">
        <v>85</v>
      </c>
      <c r="K239" t="s">
        <v>86</v>
      </c>
      <c r="L239" s="5">
        <v>5.09</v>
      </c>
      <c r="N239" s="6"/>
      <c r="O239" s="5"/>
    </row>
    <row r="240" spans="1:15" x14ac:dyDescent="0.55000000000000004">
      <c r="A240" s="6" t="s">
        <v>42</v>
      </c>
      <c r="B240" s="6">
        <v>11.42</v>
      </c>
      <c r="C240" s="5">
        <f t="shared" si="17"/>
        <v>6.33</v>
      </c>
      <c r="D240" s="5">
        <f t="shared" si="18"/>
        <v>16.509999999999998</v>
      </c>
      <c r="E240" s="5">
        <v>6.33</v>
      </c>
      <c r="F240">
        <v>6</v>
      </c>
      <c r="G240" s="8">
        <v>3</v>
      </c>
      <c r="H240" s="8">
        <v>22</v>
      </c>
      <c r="I240" t="s">
        <v>109</v>
      </c>
      <c r="J240" t="s">
        <v>85</v>
      </c>
      <c r="K240" t="s">
        <v>86</v>
      </c>
      <c r="L240" s="5">
        <v>5.09</v>
      </c>
      <c r="N240" s="6"/>
      <c r="O240" s="5"/>
    </row>
    <row r="241" spans="1:15" x14ac:dyDescent="0.55000000000000004">
      <c r="A241" s="6" t="s">
        <v>45</v>
      </c>
      <c r="B241" s="6">
        <v>11.42</v>
      </c>
      <c r="C241" s="5">
        <f t="shared" si="17"/>
        <v>6.33</v>
      </c>
      <c r="D241" s="5">
        <f t="shared" si="18"/>
        <v>16.509999999999998</v>
      </c>
      <c r="E241" s="5">
        <v>11.42</v>
      </c>
      <c r="F241">
        <v>7</v>
      </c>
      <c r="G241" s="8">
        <v>11</v>
      </c>
      <c r="H241" s="8">
        <v>23</v>
      </c>
      <c r="I241" t="s">
        <v>109</v>
      </c>
      <c r="J241" t="s">
        <v>85</v>
      </c>
      <c r="K241" t="s">
        <v>86</v>
      </c>
      <c r="L241" s="5">
        <v>5.09</v>
      </c>
      <c r="N241" s="6"/>
      <c r="O241" s="5"/>
    </row>
    <row r="242" spans="1:15" x14ac:dyDescent="0.55000000000000004">
      <c r="A242" s="6" t="s">
        <v>29</v>
      </c>
      <c r="B242" s="6">
        <v>11.69</v>
      </c>
      <c r="C242" s="5">
        <f t="shared" si="17"/>
        <v>6.6</v>
      </c>
      <c r="D242" s="5">
        <f t="shared" si="18"/>
        <v>16.78</v>
      </c>
      <c r="E242" s="5">
        <v>11.69</v>
      </c>
      <c r="F242">
        <v>8</v>
      </c>
      <c r="G242" s="8">
        <v>12</v>
      </c>
      <c r="H242" s="8">
        <v>13</v>
      </c>
      <c r="I242" t="s">
        <v>109</v>
      </c>
      <c r="J242" t="s">
        <v>85</v>
      </c>
      <c r="K242" t="s">
        <v>86</v>
      </c>
      <c r="L242" s="5">
        <v>5.09</v>
      </c>
      <c r="N242" s="6"/>
      <c r="O242" s="5"/>
    </row>
    <row r="243" spans="1:15" x14ac:dyDescent="0.55000000000000004">
      <c r="A243" s="6" t="s">
        <v>38</v>
      </c>
      <c r="B243" s="6">
        <v>11.79</v>
      </c>
      <c r="C243" s="5">
        <f t="shared" si="17"/>
        <v>6.6999999999999993</v>
      </c>
      <c r="D243" s="5">
        <f t="shared" si="18"/>
        <v>16.88</v>
      </c>
      <c r="E243" s="5">
        <v>6.7</v>
      </c>
      <c r="F243">
        <v>9</v>
      </c>
      <c r="G243" s="8">
        <v>4</v>
      </c>
      <c r="H243" s="8">
        <v>7</v>
      </c>
      <c r="I243" t="s">
        <v>109</v>
      </c>
      <c r="J243" t="s">
        <v>85</v>
      </c>
      <c r="K243" t="s">
        <v>86</v>
      </c>
      <c r="L243" s="5">
        <v>5.09</v>
      </c>
      <c r="N243" s="6"/>
      <c r="O243" s="5"/>
    </row>
    <row r="244" spans="1:15" x14ac:dyDescent="0.55000000000000004">
      <c r="A244" s="6" t="s">
        <v>25</v>
      </c>
      <c r="B244" s="6">
        <v>12.28</v>
      </c>
      <c r="C244" s="5">
        <f t="shared" si="17"/>
        <v>7.1899999999999995</v>
      </c>
      <c r="D244" s="5">
        <f t="shared" si="18"/>
        <v>17.369999999999997</v>
      </c>
      <c r="E244" s="5">
        <v>12.28</v>
      </c>
      <c r="F244">
        <v>10</v>
      </c>
      <c r="G244" s="8">
        <v>13</v>
      </c>
      <c r="H244" s="8">
        <v>24</v>
      </c>
      <c r="I244" t="s">
        <v>109</v>
      </c>
      <c r="J244" t="s">
        <v>85</v>
      </c>
      <c r="K244" t="s">
        <v>86</v>
      </c>
      <c r="L244" s="5">
        <v>5.09</v>
      </c>
      <c r="N244" s="6"/>
      <c r="O244" s="5"/>
    </row>
    <row r="245" spans="1:15" x14ac:dyDescent="0.55000000000000004">
      <c r="A245" s="6" t="s">
        <v>49</v>
      </c>
      <c r="B245" s="6">
        <v>12.53</v>
      </c>
      <c r="C245" s="5">
        <f t="shared" si="17"/>
        <v>7.4399999999999995</v>
      </c>
      <c r="D245" s="5">
        <f t="shared" si="18"/>
        <v>17.619999999999997</v>
      </c>
      <c r="E245" s="5">
        <v>12.53</v>
      </c>
      <c r="F245">
        <v>11</v>
      </c>
      <c r="G245" s="8">
        <v>14</v>
      </c>
      <c r="H245" s="8">
        <v>12</v>
      </c>
      <c r="I245" t="s">
        <v>109</v>
      </c>
      <c r="J245" t="s">
        <v>85</v>
      </c>
      <c r="K245" t="s">
        <v>86</v>
      </c>
      <c r="L245" s="5">
        <v>5.09</v>
      </c>
      <c r="N245" s="6"/>
      <c r="O245" s="5"/>
    </row>
    <row r="246" spans="1:15" x14ac:dyDescent="0.55000000000000004">
      <c r="A246" s="6" t="s">
        <v>40</v>
      </c>
      <c r="B246" s="6">
        <v>13.39</v>
      </c>
      <c r="C246" s="5">
        <f t="shared" si="17"/>
        <v>8.3000000000000007</v>
      </c>
      <c r="D246" s="5">
        <f t="shared" si="18"/>
        <v>18.48</v>
      </c>
      <c r="E246" s="5">
        <v>8.3000000000000007</v>
      </c>
      <c r="F246">
        <v>12</v>
      </c>
      <c r="G246" s="8">
        <v>5</v>
      </c>
      <c r="H246" s="8">
        <v>20</v>
      </c>
      <c r="I246" t="s">
        <v>109</v>
      </c>
      <c r="J246" t="s">
        <v>85</v>
      </c>
      <c r="K246" t="s">
        <v>86</v>
      </c>
      <c r="L246" s="5">
        <v>5.09</v>
      </c>
      <c r="N246" s="6"/>
      <c r="O246" s="5"/>
    </row>
    <row r="247" spans="1:15" x14ac:dyDescent="0.55000000000000004">
      <c r="A247" s="6" t="s">
        <v>44</v>
      </c>
      <c r="B247" s="6">
        <v>13.5</v>
      </c>
      <c r="C247" s="5">
        <f t="shared" si="17"/>
        <v>8.41</v>
      </c>
      <c r="D247" s="5">
        <f t="shared" si="18"/>
        <v>18.59</v>
      </c>
      <c r="E247" s="5">
        <v>13.5</v>
      </c>
      <c r="F247">
        <v>13</v>
      </c>
      <c r="G247" s="8">
        <v>15</v>
      </c>
      <c r="H247" s="8">
        <v>5</v>
      </c>
      <c r="I247" t="s">
        <v>109</v>
      </c>
      <c r="J247" t="s">
        <v>85</v>
      </c>
      <c r="K247" t="s">
        <v>86</v>
      </c>
      <c r="L247" s="5">
        <v>5.09</v>
      </c>
      <c r="N247" s="6"/>
      <c r="O247" s="5"/>
    </row>
    <row r="248" spans="1:15" x14ac:dyDescent="0.55000000000000004">
      <c r="A248" s="6" t="s">
        <v>28</v>
      </c>
      <c r="B248" s="6">
        <v>13.8</v>
      </c>
      <c r="C248" s="5">
        <f t="shared" si="17"/>
        <v>8.7100000000000009</v>
      </c>
      <c r="D248" s="5">
        <f t="shared" si="18"/>
        <v>18.89</v>
      </c>
      <c r="E248" s="5">
        <v>13.8</v>
      </c>
      <c r="F248">
        <v>14</v>
      </c>
      <c r="G248" s="8">
        <v>16</v>
      </c>
      <c r="H248" s="8">
        <v>6</v>
      </c>
      <c r="I248" t="s">
        <v>109</v>
      </c>
      <c r="J248" t="s">
        <v>85</v>
      </c>
      <c r="K248" t="s">
        <v>86</v>
      </c>
      <c r="L248" s="5">
        <v>5.09</v>
      </c>
      <c r="N248" s="6"/>
      <c r="O248" s="5"/>
    </row>
    <row r="249" spans="1:15" x14ac:dyDescent="0.55000000000000004">
      <c r="A249" s="6" t="s">
        <v>48</v>
      </c>
      <c r="B249" s="6">
        <v>14.3</v>
      </c>
      <c r="C249" s="5">
        <f t="shared" si="17"/>
        <v>9.2100000000000009</v>
      </c>
      <c r="D249" s="5">
        <f t="shared" si="18"/>
        <v>19.39</v>
      </c>
      <c r="E249" s="5">
        <v>19.39</v>
      </c>
      <c r="F249">
        <v>15</v>
      </c>
      <c r="G249" s="8">
        <v>20</v>
      </c>
      <c r="H249" s="8">
        <v>9</v>
      </c>
      <c r="I249" t="s">
        <v>109</v>
      </c>
      <c r="J249" t="s">
        <v>85</v>
      </c>
      <c r="K249" t="s">
        <v>86</v>
      </c>
      <c r="L249" s="5">
        <v>5.09</v>
      </c>
      <c r="N249" s="6"/>
      <c r="O249" s="5"/>
    </row>
    <row r="250" spans="1:15" x14ac:dyDescent="0.55000000000000004">
      <c r="A250" s="6" t="s">
        <v>46</v>
      </c>
      <c r="B250" s="6">
        <v>14.41</v>
      </c>
      <c r="C250" s="5">
        <f t="shared" si="17"/>
        <v>9.32</v>
      </c>
      <c r="D250" s="5">
        <f t="shared" si="18"/>
        <v>19.5</v>
      </c>
      <c r="E250" s="5">
        <v>19.5</v>
      </c>
      <c r="F250">
        <v>16</v>
      </c>
      <c r="G250" s="8">
        <v>21</v>
      </c>
      <c r="H250" s="8"/>
      <c r="I250" t="s">
        <v>109</v>
      </c>
      <c r="J250" t="s">
        <v>85</v>
      </c>
      <c r="K250" t="s">
        <v>86</v>
      </c>
      <c r="L250" s="5">
        <v>5.09</v>
      </c>
      <c r="N250" s="6"/>
      <c r="O250" s="5"/>
    </row>
    <row r="251" spans="1:15" x14ac:dyDescent="0.55000000000000004">
      <c r="A251" s="6" t="s">
        <v>34</v>
      </c>
      <c r="B251" s="6">
        <v>14.42</v>
      </c>
      <c r="C251" s="5">
        <f t="shared" si="17"/>
        <v>9.33</v>
      </c>
      <c r="D251" s="5">
        <f t="shared" si="18"/>
        <v>19.509999999999998</v>
      </c>
      <c r="E251" s="5">
        <v>19.510000000000002</v>
      </c>
      <c r="F251">
        <v>17</v>
      </c>
      <c r="G251" s="8">
        <v>22</v>
      </c>
      <c r="H251" s="8">
        <v>16</v>
      </c>
      <c r="I251" t="s">
        <v>109</v>
      </c>
      <c r="J251" t="s">
        <v>85</v>
      </c>
      <c r="K251" t="s">
        <v>86</v>
      </c>
      <c r="L251" s="5">
        <v>5.09</v>
      </c>
      <c r="N251" s="6"/>
      <c r="O251" s="5"/>
    </row>
    <row r="252" spans="1:15" x14ac:dyDescent="0.55000000000000004">
      <c r="A252" s="6" t="s">
        <v>35</v>
      </c>
      <c r="B252" s="6">
        <v>14.75</v>
      </c>
      <c r="C252" s="5">
        <f t="shared" si="17"/>
        <v>9.66</v>
      </c>
      <c r="D252" s="5">
        <f t="shared" si="18"/>
        <v>19.84</v>
      </c>
      <c r="E252" s="5">
        <v>9.66</v>
      </c>
      <c r="F252">
        <v>18</v>
      </c>
      <c r="G252" s="8">
        <v>8</v>
      </c>
      <c r="H252" s="8">
        <v>3</v>
      </c>
      <c r="I252" t="s">
        <v>109</v>
      </c>
      <c r="J252" t="s">
        <v>85</v>
      </c>
      <c r="K252" t="s">
        <v>86</v>
      </c>
      <c r="L252" s="5">
        <v>5.09</v>
      </c>
      <c r="N252" s="6"/>
      <c r="O252" s="5"/>
    </row>
    <row r="253" spans="1:15" x14ac:dyDescent="0.55000000000000004">
      <c r="A253" s="6" t="s">
        <v>26</v>
      </c>
      <c r="B253" s="6">
        <v>15.08</v>
      </c>
      <c r="C253" s="5">
        <f t="shared" si="17"/>
        <v>9.99</v>
      </c>
      <c r="D253" s="5">
        <f t="shared" si="18"/>
        <v>20.170000000000002</v>
      </c>
      <c r="E253" s="5">
        <v>9.99</v>
      </c>
      <c r="F253">
        <v>19</v>
      </c>
      <c r="G253" s="8">
        <v>9</v>
      </c>
      <c r="H253" s="8">
        <v>25</v>
      </c>
      <c r="I253" t="s">
        <v>109</v>
      </c>
      <c r="J253" t="s">
        <v>85</v>
      </c>
      <c r="K253" t="s">
        <v>86</v>
      </c>
      <c r="L253" s="5">
        <v>5.09</v>
      </c>
      <c r="N253" s="6"/>
      <c r="O253" s="5"/>
    </row>
    <row r="254" spans="1:15" x14ac:dyDescent="0.55000000000000004">
      <c r="A254" s="6" t="s">
        <v>47</v>
      </c>
      <c r="B254" s="6">
        <v>15.15</v>
      </c>
      <c r="C254" s="5">
        <f t="shared" si="17"/>
        <v>10.06</v>
      </c>
      <c r="D254" s="5">
        <f t="shared" si="18"/>
        <v>20.240000000000002</v>
      </c>
      <c r="E254" s="5">
        <v>15.15</v>
      </c>
      <c r="F254">
        <v>20</v>
      </c>
      <c r="G254" s="8">
        <v>17</v>
      </c>
      <c r="H254" s="8">
        <v>11</v>
      </c>
      <c r="I254" t="s">
        <v>109</v>
      </c>
      <c r="J254" t="s">
        <v>85</v>
      </c>
      <c r="K254" t="s">
        <v>86</v>
      </c>
      <c r="L254" s="5">
        <v>5.09</v>
      </c>
      <c r="N254" s="6"/>
      <c r="O254" s="5"/>
    </row>
    <row r="255" spans="1:15" x14ac:dyDescent="0.55000000000000004">
      <c r="A255" s="6" t="s">
        <v>41</v>
      </c>
      <c r="B255" s="6">
        <v>15.31</v>
      </c>
      <c r="C255" s="5">
        <f t="shared" si="17"/>
        <v>10.220000000000001</v>
      </c>
      <c r="D255" s="5">
        <f t="shared" si="18"/>
        <v>20.399999999999999</v>
      </c>
      <c r="E255" s="5">
        <v>20.399999999999999</v>
      </c>
      <c r="F255">
        <v>21</v>
      </c>
      <c r="G255" s="8">
        <v>23</v>
      </c>
      <c r="H255" s="8">
        <v>19</v>
      </c>
      <c r="I255" t="s">
        <v>109</v>
      </c>
      <c r="J255" t="s">
        <v>85</v>
      </c>
      <c r="K255" t="s">
        <v>86</v>
      </c>
      <c r="L255" s="5">
        <v>5.09</v>
      </c>
      <c r="N255" s="6"/>
      <c r="O255" s="5"/>
    </row>
    <row r="256" spans="1:15" x14ac:dyDescent="0.55000000000000004">
      <c r="A256" s="6" t="s">
        <v>30</v>
      </c>
      <c r="B256" s="6">
        <v>15.66</v>
      </c>
      <c r="C256" s="5">
        <f t="shared" si="17"/>
        <v>10.57</v>
      </c>
      <c r="D256" s="5">
        <f t="shared" si="18"/>
        <v>20.75</v>
      </c>
      <c r="E256" s="5">
        <v>15.66</v>
      </c>
      <c r="F256">
        <v>22</v>
      </c>
      <c r="G256" s="8">
        <v>18</v>
      </c>
      <c r="H256" s="8">
        <v>17</v>
      </c>
      <c r="I256" t="s">
        <v>109</v>
      </c>
      <c r="J256" t="s">
        <v>85</v>
      </c>
      <c r="K256" t="s">
        <v>86</v>
      </c>
      <c r="L256" s="5">
        <v>5.09</v>
      </c>
      <c r="N256" s="6"/>
      <c r="O256" s="5"/>
    </row>
    <row r="257" spans="1:15" x14ac:dyDescent="0.55000000000000004">
      <c r="A257" s="6" t="s">
        <v>43</v>
      </c>
      <c r="B257" s="6">
        <v>16</v>
      </c>
      <c r="C257" s="5">
        <f t="shared" si="17"/>
        <v>10.91</v>
      </c>
      <c r="D257" s="5">
        <f t="shared" si="18"/>
        <v>21.09</v>
      </c>
      <c r="E257" s="5">
        <v>21.09</v>
      </c>
      <c r="F257">
        <v>23</v>
      </c>
      <c r="G257" s="8">
        <v>24</v>
      </c>
      <c r="H257" s="8">
        <v>15</v>
      </c>
      <c r="I257" t="s">
        <v>109</v>
      </c>
      <c r="J257" t="s">
        <v>85</v>
      </c>
      <c r="K257" t="s">
        <v>86</v>
      </c>
      <c r="L257" s="5">
        <v>5.09</v>
      </c>
      <c r="N257" s="6"/>
      <c r="O257" s="5"/>
    </row>
    <row r="258" spans="1:15" x14ac:dyDescent="0.55000000000000004">
      <c r="A258" s="6" t="s">
        <v>31</v>
      </c>
      <c r="B258" s="6">
        <v>16.14</v>
      </c>
      <c r="C258" s="5">
        <f t="shared" si="17"/>
        <v>11.05</v>
      </c>
      <c r="D258" s="5">
        <f t="shared" si="18"/>
        <v>21.23</v>
      </c>
      <c r="E258" s="5">
        <v>16.14</v>
      </c>
      <c r="F258">
        <v>24</v>
      </c>
      <c r="G258" s="8">
        <v>19</v>
      </c>
      <c r="H258" s="8">
        <v>14</v>
      </c>
      <c r="I258" t="s">
        <v>109</v>
      </c>
      <c r="J258" t="s">
        <v>85</v>
      </c>
      <c r="K258" t="s">
        <v>86</v>
      </c>
      <c r="L258" s="5">
        <v>5.09</v>
      </c>
      <c r="N258" s="6"/>
      <c r="O258" s="5"/>
    </row>
    <row r="259" spans="1:15" x14ac:dyDescent="0.55000000000000004">
      <c r="A259" s="6" t="s">
        <v>32</v>
      </c>
      <c r="B259" s="6">
        <v>16.14</v>
      </c>
      <c r="C259" s="5">
        <f t="shared" si="17"/>
        <v>11.05</v>
      </c>
      <c r="D259" s="5">
        <f t="shared" si="18"/>
        <v>21.23</v>
      </c>
      <c r="E259" s="5">
        <v>21.23</v>
      </c>
      <c r="F259">
        <v>25</v>
      </c>
      <c r="G259" s="8">
        <v>25</v>
      </c>
      <c r="H259" s="8">
        <v>21</v>
      </c>
      <c r="I259" t="s">
        <v>109</v>
      </c>
      <c r="J259" t="s">
        <v>85</v>
      </c>
      <c r="K259" t="s">
        <v>86</v>
      </c>
      <c r="L259" s="5">
        <v>5.09</v>
      </c>
      <c r="N259" s="6"/>
      <c r="O259" s="5"/>
    </row>
    <row r="260" spans="1:15" x14ac:dyDescent="0.55000000000000004">
      <c r="A260" s="6" t="s">
        <v>38</v>
      </c>
      <c r="B260" s="6">
        <v>8.2799999999999994</v>
      </c>
      <c r="C260" s="13">
        <f>B260-L260</f>
        <v>3.1899999999999995</v>
      </c>
      <c r="D260" s="5">
        <f>B260+L260</f>
        <v>13.37</v>
      </c>
      <c r="E260" s="5">
        <v>3.19</v>
      </c>
      <c r="F260">
        <v>1</v>
      </c>
      <c r="G260" s="8">
        <v>1</v>
      </c>
      <c r="H260" s="8"/>
      <c r="I260" t="s">
        <v>111</v>
      </c>
      <c r="J260" t="s">
        <v>85</v>
      </c>
      <c r="K260" t="s">
        <v>86</v>
      </c>
      <c r="L260" s="5">
        <v>5.09</v>
      </c>
      <c r="N260" s="6"/>
      <c r="O260" s="5"/>
    </row>
    <row r="261" spans="1:15" x14ac:dyDescent="0.55000000000000004">
      <c r="A261" s="6" t="s">
        <v>39</v>
      </c>
      <c r="B261" s="6">
        <v>8.3000000000000007</v>
      </c>
      <c r="C261" s="13">
        <f t="shared" ref="C261:C284" si="19">B261-L261</f>
        <v>3.2100000000000009</v>
      </c>
      <c r="D261" s="5">
        <f t="shared" ref="D261:D284" si="20">B261+L261</f>
        <v>13.39</v>
      </c>
      <c r="E261" s="5">
        <v>8.3000000000000007</v>
      </c>
      <c r="F261">
        <v>2</v>
      </c>
      <c r="G261" s="8">
        <v>7</v>
      </c>
      <c r="H261" s="8"/>
      <c r="I261" t="s">
        <v>111</v>
      </c>
      <c r="J261" t="s">
        <v>85</v>
      </c>
      <c r="K261" t="s">
        <v>86</v>
      </c>
      <c r="L261" s="5">
        <v>5.09</v>
      </c>
      <c r="N261" s="6"/>
      <c r="O261" s="5"/>
    </row>
    <row r="262" spans="1:15" x14ac:dyDescent="0.55000000000000004">
      <c r="A262" s="6" t="s">
        <v>37</v>
      </c>
      <c r="B262" s="6">
        <v>8.31</v>
      </c>
      <c r="C262" s="13">
        <f t="shared" si="19"/>
        <v>3.2200000000000006</v>
      </c>
      <c r="D262" s="5">
        <f t="shared" si="20"/>
        <v>13.4</v>
      </c>
      <c r="E262" s="5">
        <v>3.22</v>
      </c>
      <c r="F262">
        <v>3</v>
      </c>
      <c r="G262" s="8">
        <v>2</v>
      </c>
      <c r="H262" s="8"/>
      <c r="I262" t="s">
        <v>111</v>
      </c>
      <c r="J262" t="s">
        <v>85</v>
      </c>
      <c r="K262" t="s">
        <v>86</v>
      </c>
      <c r="L262" s="5">
        <v>5.09</v>
      </c>
      <c r="N262" s="6"/>
      <c r="O262" s="5"/>
    </row>
    <row r="263" spans="1:15" x14ac:dyDescent="0.55000000000000004">
      <c r="A263" s="6" t="s">
        <v>36</v>
      </c>
      <c r="B263" s="6">
        <v>8.57</v>
      </c>
      <c r="C263" s="13">
        <f t="shared" si="19"/>
        <v>3.4800000000000004</v>
      </c>
      <c r="D263" s="5">
        <f t="shared" si="20"/>
        <v>13.66</v>
      </c>
      <c r="E263" s="5">
        <v>3.48</v>
      </c>
      <c r="F263">
        <v>4</v>
      </c>
      <c r="G263" s="8">
        <v>3</v>
      </c>
      <c r="H263" s="8"/>
      <c r="I263" t="s">
        <v>111</v>
      </c>
      <c r="J263" t="s">
        <v>85</v>
      </c>
      <c r="K263" t="s">
        <v>86</v>
      </c>
      <c r="L263" s="5">
        <v>5.09</v>
      </c>
      <c r="N263" s="6"/>
      <c r="O263" s="5"/>
    </row>
    <row r="264" spans="1:15" x14ac:dyDescent="0.55000000000000004">
      <c r="A264" s="6" t="s">
        <v>40</v>
      </c>
      <c r="B264" s="6">
        <v>9.68</v>
      </c>
      <c r="C264" s="13">
        <f t="shared" si="19"/>
        <v>4.59</v>
      </c>
      <c r="D264" s="5">
        <f t="shared" si="20"/>
        <v>14.77</v>
      </c>
      <c r="E264" s="5">
        <v>4.59</v>
      </c>
      <c r="F264">
        <v>5</v>
      </c>
      <c r="G264" s="8">
        <v>4</v>
      </c>
      <c r="H264" s="8"/>
      <c r="I264" t="s">
        <v>111</v>
      </c>
      <c r="J264" t="s">
        <v>85</v>
      </c>
      <c r="K264" t="s">
        <v>86</v>
      </c>
      <c r="L264" s="5">
        <v>5.09</v>
      </c>
      <c r="N264" s="6"/>
      <c r="O264" s="5"/>
    </row>
    <row r="265" spans="1:15" x14ac:dyDescent="0.55000000000000004">
      <c r="A265" s="6" t="s">
        <v>35</v>
      </c>
      <c r="B265" s="6">
        <v>10.119999999999999</v>
      </c>
      <c r="C265" s="13">
        <f t="shared" si="19"/>
        <v>5.0299999999999994</v>
      </c>
      <c r="D265" s="5">
        <f t="shared" si="20"/>
        <v>15.209999999999999</v>
      </c>
      <c r="E265" s="5">
        <v>5.03</v>
      </c>
      <c r="F265">
        <v>6</v>
      </c>
      <c r="G265" s="8">
        <v>5</v>
      </c>
      <c r="H265" s="8"/>
      <c r="I265" t="s">
        <v>111</v>
      </c>
      <c r="J265" t="s">
        <v>85</v>
      </c>
      <c r="K265" t="s">
        <v>86</v>
      </c>
      <c r="L265" s="5">
        <v>5.09</v>
      </c>
      <c r="N265" s="6"/>
      <c r="O265" s="5"/>
    </row>
    <row r="266" spans="1:15" x14ac:dyDescent="0.55000000000000004">
      <c r="A266" s="6" t="s">
        <v>34</v>
      </c>
      <c r="B266" s="6">
        <v>10.23</v>
      </c>
      <c r="C266" s="13">
        <f t="shared" si="19"/>
        <v>5.1400000000000006</v>
      </c>
      <c r="D266" s="5">
        <f t="shared" si="20"/>
        <v>15.32</v>
      </c>
      <c r="E266" s="5">
        <v>15.32</v>
      </c>
      <c r="F266">
        <v>7</v>
      </c>
      <c r="G266" s="8">
        <v>18</v>
      </c>
      <c r="H266" s="8"/>
      <c r="I266" t="s">
        <v>111</v>
      </c>
      <c r="J266" t="s">
        <v>85</v>
      </c>
      <c r="K266" t="s">
        <v>86</v>
      </c>
      <c r="L266" s="5">
        <v>5.09</v>
      </c>
      <c r="N266" s="6"/>
      <c r="O266" s="5"/>
    </row>
    <row r="267" spans="1:15" x14ac:dyDescent="0.55000000000000004">
      <c r="A267" s="6" t="s">
        <v>27</v>
      </c>
      <c r="B267" s="6">
        <v>10.78</v>
      </c>
      <c r="C267" s="13">
        <f t="shared" si="19"/>
        <v>5.6899999999999995</v>
      </c>
      <c r="D267" s="5">
        <f t="shared" si="20"/>
        <v>15.87</v>
      </c>
      <c r="E267" s="5">
        <v>10.78</v>
      </c>
      <c r="F267">
        <v>8</v>
      </c>
      <c r="G267" s="8">
        <v>9</v>
      </c>
      <c r="H267" s="8"/>
      <c r="I267" t="s">
        <v>111</v>
      </c>
      <c r="J267" t="s">
        <v>85</v>
      </c>
      <c r="K267" t="s">
        <v>86</v>
      </c>
      <c r="L267" s="5">
        <v>5.09</v>
      </c>
      <c r="N267" s="6"/>
      <c r="O267" s="5"/>
    </row>
    <row r="268" spans="1:15" x14ac:dyDescent="0.55000000000000004">
      <c r="A268" s="6" t="s">
        <v>44</v>
      </c>
      <c r="B268" s="6">
        <v>11.28</v>
      </c>
      <c r="C268" s="13">
        <f t="shared" si="19"/>
        <v>6.1899999999999995</v>
      </c>
      <c r="D268" s="5">
        <f t="shared" si="20"/>
        <v>16.369999999999997</v>
      </c>
      <c r="E268" s="5">
        <v>6.19</v>
      </c>
      <c r="F268">
        <v>9</v>
      </c>
      <c r="G268" s="8">
        <v>6</v>
      </c>
      <c r="H268" s="8"/>
      <c r="I268" t="s">
        <v>111</v>
      </c>
      <c r="J268" t="s">
        <v>85</v>
      </c>
      <c r="K268" t="s">
        <v>86</v>
      </c>
      <c r="L268" s="5">
        <v>5.09</v>
      </c>
      <c r="N268" s="6"/>
      <c r="O268" s="5"/>
    </row>
    <row r="269" spans="1:15" x14ac:dyDescent="0.55000000000000004">
      <c r="A269" s="6" t="s">
        <v>45</v>
      </c>
      <c r="B269" s="6">
        <v>11.92</v>
      </c>
      <c r="C269" s="13">
        <f t="shared" si="19"/>
        <v>6.83</v>
      </c>
      <c r="D269" s="5">
        <f t="shared" si="20"/>
        <v>17.009999999999998</v>
      </c>
      <c r="E269" s="5">
        <v>11.92</v>
      </c>
      <c r="F269">
        <v>10</v>
      </c>
      <c r="G269" s="8">
        <v>11</v>
      </c>
      <c r="H269" s="8"/>
      <c r="I269" t="s">
        <v>111</v>
      </c>
      <c r="J269" t="s">
        <v>85</v>
      </c>
      <c r="K269" t="s">
        <v>86</v>
      </c>
      <c r="L269" s="5">
        <v>5.09</v>
      </c>
      <c r="N269" s="6"/>
      <c r="O269" s="5"/>
    </row>
    <row r="270" spans="1:15" x14ac:dyDescent="0.55000000000000004">
      <c r="A270" s="6" t="s">
        <v>28</v>
      </c>
      <c r="B270" s="6">
        <v>12.16</v>
      </c>
      <c r="C270" s="13">
        <f t="shared" si="19"/>
        <v>7.07</v>
      </c>
      <c r="D270" s="5">
        <f t="shared" si="20"/>
        <v>17.25</v>
      </c>
      <c r="E270" s="5">
        <v>12.16</v>
      </c>
      <c r="F270">
        <v>11</v>
      </c>
      <c r="G270" s="8">
        <v>13</v>
      </c>
      <c r="H270" s="8"/>
      <c r="I270" t="s">
        <v>111</v>
      </c>
      <c r="J270" t="s">
        <v>85</v>
      </c>
      <c r="K270" t="s">
        <v>86</v>
      </c>
      <c r="L270" s="5">
        <v>5.09</v>
      </c>
      <c r="N270" s="6"/>
      <c r="O270" s="5"/>
    </row>
    <row r="271" spans="1:15" x14ac:dyDescent="0.55000000000000004">
      <c r="A271" s="6" t="s">
        <v>32</v>
      </c>
      <c r="B271" s="6">
        <v>12.87</v>
      </c>
      <c r="C271" s="13">
        <f t="shared" si="19"/>
        <v>7.7799999999999994</v>
      </c>
      <c r="D271" s="5">
        <f t="shared" si="20"/>
        <v>17.96</v>
      </c>
      <c r="E271" s="5">
        <v>17.96</v>
      </c>
      <c r="F271">
        <v>12</v>
      </c>
      <c r="G271" s="8">
        <v>21</v>
      </c>
      <c r="H271" s="8"/>
      <c r="I271" t="s">
        <v>111</v>
      </c>
      <c r="J271" t="s">
        <v>85</v>
      </c>
      <c r="K271" t="s">
        <v>86</v>
      </c>
      <c r="L271" s="5">
        <v>5.09</v>
      </c>
      <c r="N271" s="6"/>
      <c r="O271" s="5"/>
    </row>
    <row r="272" spans="1:15" x14ac:dyDescent="0.55000000000000004">
      <c r="A272" s="6" t="s">
        <v>48</v>
      </c>
      <c r="B272" s="6">
        <v>13.09</v>
      </c>
      <c r="C272" s="13">
        <f t="shared" si="19"/>
        <v>8</v>
      </c>
      <c r="D272" s="5">
        <f t="shared" si="20"/>
        <v>18.18</v>
      </c>
      <c r="E272" s="5">
        <v>18.18</v>
      </c>
      <c r="F272">
        <v>13</v>
      </c>
      <c r="G272" s="8">
        <v>22</v>
      </c>
      <c r="H272" s="8"/>
      <c r="I272" t="s">
        <v>111</v>
      </c>
      <c r="J272" t="s">
        <v>85</v>
      </c>
      <c r="K272" t="s">
        <v>86</v>
      </c>
      <c r="L272" s="5">
        <v>5.09</v>
      </c>
      <c r="N272" s="6"/>
      <c r="O272" s="5"/>
    </row>
    <row r="273" spans="1:15" x14ac:dyDescent="0.55000000000000004">
      <c r="A273" s="6" t="s">
        <v>33</v>
      </c>
      <c r="B273" s="6">
        <v>13.67</v>
      </c>
      <c r="C273" s="13">
        <f t="shared" si="19"/>
        <v>8.58</v>
      </c>
      <c r="D273" s="5">
        <f t="shared" si="20"/>
        <v>18.759999999999998</v>
      </c>
      <c r="E273" s="5">
        <v>13.67</v>
      </c>
      <c r="F273">
        <v>14</v>
      </c>
      <c r="G273" s="8">
        <v>14</v>
      </c>
      <c r="H273" s="8"/>
      <c r="I273" t="s">
        <v>111</v>
      </c>
      <c r="J273" t="s">
        <v>85</v>
      </c>
      <c r="K273" t="s">
        <v>86</v>
      </c>
      <c r="L273" s="5">
        <v>5.09</v>
      </c>
      <c r="N273" s="6"/>
      <c r="O273" s="5"/>
    </row>
    <row r="274" spans="1:15" x14ac:dyDescent="0.55000000000000004">
      <c r="A274" s="6" t="s">
        <v>29</v>
      </c>
      <c r="B274" s="6">
        <v>13.89</v>
      </c>
      <c r="C274" s="13">
        <f t="shared" si="19"/>
        <v>8.8000000000000007</v>
      </c>
      <c r="D274" s="5">
        <f t="shared" si="20"/>
        <v>18.98</v>
      </c>
      <c r="E274" s="5">
        <v>13.89</v>
      </c>
      <c r="F274">
        <v>15</v>
      </c>
      <c r="G274" s="8">
        <v>15</v>
      </c>
      <c r="H274" s="8"/>
      <c r="I274" t="s">
        <v>111</v>
      </c>
      <c r="J274" t="s">
        <v>85</v>
      </c>
      <c r="K274" t="s">
        <v>86</v>
      </c>
      <c r="L274" s="5">
        <v>5.09</v>
      </c>
      <c r="N274" s="6"/>
      <c r="O274" s="5"/>
    </row>
    <row r="275" spans="1:15" x14ac:dyDescent="0.55000000000000004">
      <c r="A275" s="6" t="s">
        <v>25</v>
      </c>
      <c r="B275" s="6">
        <v>13.92</v>
      </c>
      <c r="C275" s="13">
        <f t="shared" si="19"/>
        <v>8.83</v>
      </c>
      <c r="D275" s="5">
        <f t="shared" si="20"/>
        <v>19.009999999999998</v>
      </c>
      <c r="E275" s="5">
        <v>8.83</v>
      </c>
      <c r="F275">
        <v>16</v>
      </c>
      <c r="G275" s="8">
        <v>8</v>
      </c>
      <c r="H275" s="8"/>
      <c r="I275" t="s">
        <v>111</v>
      </c>
      <c r="J275" t="s">
        <v>85</v>
      </c>
      <c r="K275" t="s">
        <v>86</v>
      </c>
      <c r="L275" s="5">
        <v>5.09</v>
      </c>
      <c r="N275" s="6"/>
      <c r="O275" s="5"/>
    </row>
    <row r="276" spans="1:15" x14ac:dyDescent="0.55000000000000004">
      <c r="A276" s="6" t="s">
        <v>49</v>
      </c>
      <c r="B276" s="6">
        <v>13.92</v>
      </c>
      <c r="C276" s="13">
        <f t="shared" si="19"/>
        <v>8.83</v>
      </c>
      <c r="D276" s="5">
        <f t="shared" si="20"/>
        <v>19.009999999999998</v>
      </c>
      <c r="E276" s="5">
        <v>13.92</v>
      </c>
      <c r="F276">
        <v>17</v>
      </c>
      <c r="G276" s="8">
        <v>16</v>
      </c>
      <c r="H276" s="8"/>
      <c r="I276" t="s">
        <v>111</v>
      </c>
      <c r="J276" t="s">
        <v>85</v>
      </c>
      <c r="K276" t="s">
        <v>86</v>
      </c>
      <c r="L276" s="5">
        <v>5.09</v>
      </c>
      <c r="N276" s="6"/>
      <c r="O276" s="5"/>
    </row>
    <row r="277" spans="1:15" x14ac:dyDescent="0.55000000000000004">
      <c r="A277" s="6" t="s">
        <v>30</v>
      </c>
      <c r="B277" s="6">
        <v>14.08</v>
      </c>
      <c r="C277" s="13">
        <f t="shared" si="19"/>
        <v>8.99</v>
      </c>
      <c r="D277" s="5">
        <f t="shared" si="20"/>
        <v>19.170000000000002</v>
      </c>
      <c r="E277" s="5">
        <v>19.170000000000002</v>
      </c>
      <c r="F277">
        <v>18</v>
      </c>
      <c r="G277" s="8">
        <v>23</v>
      </c>
      <c r="H277" s="8"/>
      <c r="I277" t="s">
        <v>111</v>
      </c>
      <c r="J277" t="s">
        <v>85</v>
      </c>
      <c r="K277" t="s">
        <v>86</v>
      </c>
      <c r="L277" s="5">
        <v>5.09</v>
      </c>
      <c r="N277" s="6"/>
      <c r="O277" s="5"/>
    </row>
    <row r="278" spans="1:15" x14ac:dyDescent="0.55000000000000004">
      <c r="A278" s="6" t="s">
        <v>41</v>
      </c>
      <c r="B278" s="6">
        <v>14.92</v>
      </c>
      <c r="C278" s="13">
        <f t="shared" si="19"/>
        <v>9.83</v>
      </c>
      <c r="D278" s="5">
        <f t="shared" si="20"/>
        <v>20.009999999999998</v>
      </c>
      <c r="E278" s="5">
        <v>14.92</v>
      </c>
      <c r="F278">
        <v>19</v>
      </c>
      <c r="G278" s="8">
        <v>17</v>
      </c>
      <c r="H278" s="8"/>
      <c r="I278" t="s">
        <v>111</v>
      </c>
      <c r="J278" t="s">
        <v>85</v>
      </c>
      <c r="K278" t="s">
        <v>86</v>
      </c>
      <c r="L278" s="5">
        <v>5.09</v>
      </c>
      <c r="N278" s="6"/>
      <c r="O278" s="5"/>
    </row>
    <row r="279" spans="1:15" x14ac:dyDescent="0.55000000000000004">
      <c r="A279" s="6" t="s">
        <v>31</v>
      </c>
      <c r="B279" s="6">
        <v>15.33</v>
      </c>
      <c r="C279" s="13">
        <f t="shared" si="19"/>
        <v>10.24</v>
      </c>
      <c r="D279" s="5">
        <f t="shared" si="20"/>
        <v>20.420000000000002</v>
      </c>
      <c r="E279" s="5">
        <v>15.33</v>
      </c>
      <c r="F279">
        <v>20</v>
      </c>
      <c r="G279" s="8">
        <v>19</v>
      </c>
      <c r="H279" s="8"/>
      <c r="I279" t="s">
        <v>111</v>
      </c>
      <c r="J279" t="s">
        <v>85</v>
      </c>
      <c r="K279" t="s">
        <v>86</v>
      </c>
      <c r="L279" s="5">
        <v>5.09</v>
      </c>
      <c r="N279" s="6"/>
      <c r="O279" s="5"/>
    </row>
    <row r="280" spans="1:15" x14ac:dyDescent="0.55000000000000004">
      <c r="A280" s="6" t="s">
        <v>46</v>
      </c>
      <c r="B280" s="6">
        <v>15.71</v>
      </c>
      <c r="C280" s="13">
        <f t="shared" si="19"/>
        <v>10.620000000000001</v>
      </c>
      <c r="D280" s="5">
        <f t="shared" si="20"/>
        <v>20.8</v>
      </c>
      <c r="E280" s="5">
        <v>20.8</v>
      </c>
      <c r="F280">
        <v>21</v>
      </c>
      <c r="G280" s="8">
        <v>24</v>
      </c>
      <c r="H280" s="8"/>
      <c r="I280" t="s">
        <v>111</v>
      </c>
      <c r="J280" t="s">
        <v>85</v>
      </c>
      <c r="K280" t="s">
        <v>86</v>
      </c>
      <c r="L280" s="5">
        <v>5.09</v>
      </c>
      <c r="N280" s="6"/>
      <c r="O280" s="5"/>
    </row>
    <row r="281" spans="1:15" x14ac:dyDescent="0.55000000000000004">
      <c r="A281" s="6" t="s">
        <v>42</v>
      </c>
      <c r="B281" s="6">
        <v>15.89</v>
      </c>
      <c r="C281" s="13">
        <f t="shared" si="19"/>
        <v>10.8</v>
      </c>
      <c r="D281" s="5">
        <f t="shared" si="20"/>
        <v>20.98</v>
      </c>
      <c r="E281" s="5">
        <v>10.8</v>
      </c>
      <c r="F281">
        <v>22</v>
      </c>
      <c r="G281" s="8">
        <v>10</v>
      </c>
      <c r="H281" s="8"/>
      <c r="I281" t="s">
        <v>111</v>
      </c>
      <c r="J281" t="s">
        <v>85</v>
      </c>
      <c r="K281" t="s">
        <v>86</v>
      </c>
      <c r="L281" s="5">
        <v>5.09</v>
      </c>
      <c r="N281" s="6"/>
      <c r="O281" s="5"/>
    </row>
    <row r="282" spans="1:15" x14ac:dyDescent="0.55000000000000004">
      <c r="A282" s="6" t="s">
        <v>47</v>
      </c>
      <c r="B282" s="6">
        <v>16.510000000000002</v>
      </c>
      <c r="C282" s="13">
        <f t="shared" si="19"/>
        <v>11.420000000000002</v>
      </c>
      <c r="D282" s="5">
        <f t="shared" si="20"/>
        <v>21.6</v>
      </c>
      <c r="E282" s="5">
        <v>16.510000000000002</v>
      </c>
      <c r="F282">
        <v>23</v>
      </c>
      <c r="G282" s="8">
        <v>20</v>
      </c>
      <c r="H282" s="8"/>
      <c r="I282" t="s">
        <v>111</v>
      </c>
      <c r="J282" t="s">
        <v>85</v>
      </c>
      <c r="K282" t="s">
        <v>86</v>
      </c>
      <c r="L282" s="5">
        <v>5.09</v>
      </c>
      <c r="N282" s="6"/>
      <c r="O282" s="5"/>
    </row>
    <row r="283" spans="1:15" x14ac:dyDescent="0.55000000000000004">
      <c r="A283" s="6" t="s">
        <v>26</v>
      </c>
      <c r="B283" s="6">
        <v>17.23</v>
      </c>
      <c r="C283" s="13">
        <f t="shared" si="19"/>
        <v>12.14</v>
      </c>
      <c r="D283" s="5">
        <f t="shared" si="20"/>
        <v>22.32</v>
      </c>
      <c r="E283" s="5">
        <v>12.14</v>
      </c>
      <c r="F283">
        <v>24</v>
      </c>
      <c r="G283" s="8">
        <v>12</v>
      </c>
      <c r="H283" s="8"/>
      <c r="I283" t="s">
        <v>111</v>
      </c>
      <c r="J283" t="s">
        <v>85</v>
      </c>
      <c r="K283" t="s">
        <v>86</v>
      </c>
      <c r="L283" s="5">
        <v>5.09</v>
      </c>
      <c r="N283" s="6"/>
      <c r="O283" s="5"/>
    </row>
    <row r="284" spans="1:15" x14ac:dyDescent="0.55000000000000004">
      <c r="A284" s="6" t="s">
        <v>43</v>
      </c>
      <c r="B284" s="6">
        <v>17.579999999999998</v>
      </c>
      <c r="C284" s="13">
        <f t="shared" si="19"/>
        <v>12.489999999999998</v>
      </c>
      <c r="D284" s="5">
        <f t="shared" si="20"/>
        <v>22.669999999999998</v>
      </c>
      <c r="E284" s="5">
        <v>22.67</v>
      </c>
      <c r="F284">
        <v>25</v>
      </c>
      <c r="G284" s="8">
        <v>25</v>
      </c>
      <c r="H284" s="8"/>
      <c r="I284" t="s">
        <v>111</v>
      </c>
      <c r="J284" t="s">
        <v>85</v>
      </c>
      <c r="K284" t="s">
        <v>86</v>
      </c>
      <c r="L284" s="5">
        <v>5.09</v>
      </c>
    </row>
    <row r="285" spans="1:15" x14ac:dyDescent="0.55000000000000004">
      <c r="A285" s="6" t="s">
        <v>39</v>
      </c>
      <c r="B285" s="6">
        <v>6.76</v>
      </c>
      <c r="C285" s="5">
        <f>B285-L285</f>
        <v>1.67</v>
      </c>
      <c r="D285" s="5">
        <f>B285+L285</f>
        <v>11.85</v>
      </c>
      <c r="E285" s="5">
        <v>6.76</v>
      </c>
      <c r="F285">
        <v>1</v>
      </c>
      <c r="G285" s="8">
        <v>7</v>
      </c>
      <c r="H285" s="8"/>
      <c r="I285" t="s">
        <v>112</v>
      </c>
      <c r="J285" t="s">
        <v>85</v>
      </c>
      <c r="K285" t="s">
        <v>86</v>
      </c>
      <c r="L285" s="5">
        <v>5.09</v>
      </c>
      <c r="N285" s="6"/>
      <c r="O285" s="5"/>
    </row>
    <row r="286" spans="1:15" x14ac:dyDescent="0.55000000000000004">
      <c r="A286" s="6" t="s">
        <v>36</v>
      </c>
      <c r="B286" s="6">
        <v>7.7</v>
      </c>
      <c r="C286" s="5">
        <f t="shared" ref="C286:C309" si="21">B286-L286</f>
        <v>2.6100000000000003</v>
      </c>
      <c r="D286" s="5">
        <f t="shared" ref="D286:D309" si="22">B286+L286</f>
        <v>12.79</v>
      </c>
      <c r="E286" s="5">
        <v>2.61</v>
      </c>
      <c r="F286">
        <v>2</v>
      </c>
      <c r="G286" s="8">
        <v>1</v>
      </c>
      <c r="H286" s="8"/>
      <c r="I286" t="s">
        <v>112</v>
      </c>
      <c r="J286" t="s">
        <v>85</v>
      </c>
      <c r="K286" t="s">
        <v>86</v>
      </c>
      <c r="L286" s="5">
        <v>5.09</v>
      </c>
      <c r="N286" s="6"/>
      <c r="O286" s="5"/>
    </row>
    <row r="287" spans="1:15" x14ac:dyDescent="0.55000000000000004">
      <c r="A287" s="6" t="s">
        <v>38</v>
      </c>
      <c r="B287" s="6">
        <v>8.2799999999999994</v>
      </c>
      <c r="C287" s="5">
        <f t="shared" si="21"/>
        <v>3.1899999999999995</v>
      </c>
      <c r="D287" s="5">
        <f t="shared" si="22"/>
        <v>13.37</v>
      </c>
      <c r="E287" s="5">
        <v>3.19</v>
      </c>
      <c r="F287">
        <v>3</v>
      </c>
      <c r="G287" s="8">
        <v>2</v>
      </c>
      <c r="H287" s="8"/>
      <c r="I287" t="s">
        <v>112</v>
      </c>
      <c r="J287" t="s">
        <v>85</v>
      </c>
      <c r="K287" t="s">
        <v>86</v>
      </c>
      <c r="L287" s="5">
        <v>5.09</v>
      </c>
      <c r="N287" s="6"/>
      <c r="O287" s="5"/>
    </row>
    <row r="288" spans="1:15" x14ac:dyDescent="0.55000000000000004">
      <c r="A288" s="6" t="s">
        <v>37</v>
      </c>
      <c r="B288" s="6">
        <v>8.49</v>
      </c>
      <c r="C288" s="5">
        <f t="shared" si="21"/>
        <v>3.4000000000000004</v>
      </c>
      <c r="D288" s="5">
        <f t="shared" si="22"/>
        <v>13.58</v>
      </c>
      <c r="E288" s="5">
        <v>3.4</v>
      </c>
      <c r="F288">
        <v>4</v>
      </c>
      <c r="G288" s="8">
        <v>3</v>
      </c>
      <c r="H288" s="8"/>
      <c r="I288" t="s">
        <v>112</v>
      </c>
      <c r="J288" t="s">
        <v>85</v>
      </c>
      <c r="K288" t="s">
        <v>86</v>
      </c>
      <c r="L288" s="5">
        <v>5.09</v>
      </c>
      <c r="N288" s="6"/>
      <c r="O288" s="5"/>
    </row>
    <row r="289" spans="1:15" x14ac:dyDescent="0.55000000000000004">
      <c r="A289" s="6" t="s">
        <v>35</v>
      </c>
      <c r="B289" s="6">
        <v>9.94</v>
      </c>
      <c r="C289" s="5">
        <f t="shared" si="21"/>
        <v>4.8499999999999996</v>
      </c>
      <c r="D289" s="5">
        <f t="shared" si="22"/>
        <v>15.03</v>
      </c>
      <c r="E289" s="5">
        <v>4.8499999999999996</v>
      </c>
      <c r="F289">
        <v>5</v>
      </c>
      <c r="G289" s="8">
        <v>4</v>
      </c>
      <c r="H289" s="8"/>
      <c r="I289" t="s">
        <v>112</v>
      </c>
      <c r="J289" t="s">
        <v>85</v>
      </c>
      <c r="K289" t="s">
        <v>86</v>
      </c>
      <c r="L289" s="5">
        <v>5.09</v>
      </c>
      <c r="N289" s="6"/>
      <c r="O289" s="5"/>
    </row>
    <row r="290" spans="1:15" x14ac:dyDescent="0.55000000000000004">
      <c r="A290" s="6" t="s">
        <v>40</v>
      </c>
      <c r="B290" s="6">
        <v>10.42</v>
      </c>
      <c r="C290" s="5">
        <f t="shared" si="21"/>
        <v>5.33</v>
      </c>
      <c r="D290" s="5">
        <f t="shared" si="22"/>
        <v>15.51</v>
      </c>
      <c r="E290" s="5">
        <v>5.33</v>
      </c>
      <c r="F290">
        <v>6</v>
      </c>
      <c r="G290" s="8">
        <v>5</v>
      </c>
      <c r="H290" s="8"/>
      <c r="I290" t="s">
        <v>112</v>
      </c>
      <c r="J290" t="s">
        <v>85</v>
      </c>
      <c r="K290" t="s">
        <v>86</v>
      </c>
      <c r="L290" s="5">
        <v>5.09</v>
      </c>
      <c r="N290" s="6"/>
      <c r="O290" s="5"/>
    </row>
    <row r="291" spans="1:15" x14ac:dyDescent="0.55000000000000004">
      <c r="A291" s="6" t="s">
        <v>27</v>
      </c>
      <c r="B291" s="6">
        <v>10.59</v>
      </c>
      <c r="C291" s="5">
        <f t="shared" si="21"/>
        <v>5.5</v>
      </c>
      <c r="D291" s="5">
        <f t="shared" si="22"/>
        <v>15.68</v>
      </c>
      <c r="E291" s="5">
        <v>10.59</v>
      </c>
      <c r="F291">
        <v>7</v>
      </c>
      <c r="G291" s="8">
        <v>11</v>
      </c>
      <c r="H291" s="8"/>
      <c r="I291" t="s">
        <v>112</v>
      </c>
      <c r="J291" t="s">
        <v>85</v>
      </c>
      <c r="K291" t="s">
        <v>86</v>
      </c>
      <c r="L291" s="5">
        <v>5.09</v>
      </c>
      <c r="N291" s="6"/>
      <c r="O291" s="5"/>
    </row>
    <row r="292" spans="1:15" x14ac:dyDescent="0.55000000000000004">
      <c r="A292" s="6" t="s">
        <v>44</v>
      </c>
      <c r="B292" s="6">
        <v>11.28</v>
      </c>
      <c r="C292" s="5">
        <f t="shared" si="21"/>
        <v>6.1899999999999995</v>
      </c>
      <c r="D292" s="5">
        <f t="shared" si="22"/>
        <v>16.369999999999997</v>
      </c>
      <c r="E292" s="5">
        <v>6.19</v>
      </c>
      <c r="F292">
        <v>8</v>
      </c>
      <c r="G292" s="8">
        <v>6</v>
      </c>
      <c r="H292" s="8"/>
      <c r="I292" t="s">
        <v>112</v>
      </c>
      <c r="J292" t="s">
        <v>85</v>
      </c>
      <c r="K292" t="s">
        <v>86</v>
      </c>
      <c r="L292" s="5">
        <v>5.09</v>
      </c>
      <c r="N292" s="6"/>
      <c r="O292" s="5"/>
    </row>
    <row r="293" spans="1:15" x14ac:dyDescent="0.55000000000000004">
      <c r="A293" s="6" t="s">
        <v>34</v>
      </c>
      <c r="B293" s="6">
        <v>11.47</v>
      </c>
      <c r="C293" s="5">
        <f t="shared" si="21"/>
        <v>6.3800000000000008</v>
      </c>
      <c r="D293" s="5">
        <f t="shared" si="22"/>
        <v>16.560000000000002</v>
      </c>
      <c r="E293" s="5">
        <v>11.47</v>
      </c>
      <c r="F293">
        <v>9</v>
      </c>
      <c r="G293" s="8">
        <v>12</v>
      </c>
      <c r="H293" s="8"/>
      <c r="I293" t="s">
        <v>112</v>
      </c>
      <c r="J293" t="s">
        <v>85</v>
      </c>
      <c r="K293" t="s">
        <v>86</v>
      </c>
      <c r="L293" s="5">
        <v>5.09</v>
      </c>
      <c r="N293" s="6"/>
      <c r="O293" s="5"/>
    </row>
    <row r="294" spans="1:15" x14ac:dyDescent="0.55000000000000004">
      <c r="A294" s="6" t="s">
        <v>49</v>
      </c>
      <c r="B294" s="6">
        <v>11.9</v>
      </c>
      <c r="C294" s="5">
        <f t="shared" si="21"/>
        <v>6.8100000000000005</v>
      </c>
      <c r="D294" s="5">
        <f t="shared" si="22"/>
        <v>16.990000000000002</v>
      </c>
      <c r="E294" s="5">
        <v>6.81</v>
      </c>
      <c r="F294">
        <v>10</v>
      </c>
      <c r="G294" s="8">
        <v>8</v>
      </c>
      <c r="H294" s="8"/>
      <c r="I294" t="s">
        <v>112</v>
      </c>
      <c r="J294" t="s">
        <v>85</v>
      </c>
      <c r="K294" t="s">
        <v>86</v>
      </c>
      <c r="L294" s="5">
        <v>5.09</v>
      </c>
      <c r="N294" s="6"/>
      <c r="O294" s="5"/>
    </row>
    <row r="295" spans="1:15" x14ac:dyDescent="0.55000000000000004">
      <c r="A295" s="6" t="s">
        <v>28</v>
      </c>
      <c r="B295" s="6">
        <v>12.18</v>
      </c>
      <c r="C295" s="5">
        <f t="shared" si="21"/>
        <v>7.09</v>
      </c>
      <c r="D295" s="5">
        <f t="shared" si="22"/>
        <v>17.27</v>
      </c>
      <c r="E295" s="5">
        <v>12.18</v>
      </c>
      <c r="F295">
        <v>11</v>
      </c>
      <c r="G295" s="8">
        <v>13</v>
      </c>
      <c r="H295" s="8"/>
      <c r="I295" t="s">
        <v>112</v>
      </c>
      <c r="J295" t="s">
        <v>85</v>
      </c>
      <c r="K295" t="s">
        <v>86</v>
      </c>
      <c r="L295" s="5">
        <v>5.09</v>
      </c>
      <c r="N295" s="6"/>
      <c r="O295" s="5"/>
    </row>
    <row r="296" spans="1:15" x14ac:dyDescent="0.55000000000000004">
      <c r="A296" s="6" t="s">
        <v>46</v>
      </c>
      <c r="B296" s="6">
        <v>12.33</v>
      </c>
      <c r="C296" s="5">
        <f t="shared" si="21"/>
        <v>7.24</v>
      </c>
      <c r="D296" s="5">
        <f t="shared" si="22"/>
        <v>17.420000000000002</v>
      </c>
      <c r="E296" s="5">
        <v>12.33</v>
      </c>
      <c r="F296">
        <v>12</v>
      </c>
      <c r="G296" s="8">
        <v>14</v>
      </c>
      <c r="H296" s="8"/>
      <c r="I296" t="s">
        <v>112</v>
      </c>
      <c r="J296" t="s">
        <v>85</v>
      </c>
      <c r="K296" t="s">
        <v>86</v>
      </c>
      <c r="L296" s="5">
        <v>5.09</v>
      </c>
      <c r="N296" s="6"/>
      <c r="O296" s="5"/>
    </row>
    <row r="297" spans="1:15" x14ac:dyDescent="0.55000000000000004">
      <c r="A297" s="6" t="s">
        <v>48</v>
      </c>
      <c r="B297" s="6">
        <v>13.35</v>
      </c>
      <c r="C297" s="5">
        <f t="shared" si="21"/>
        <v>8.26</v>
      </c>
      <c r="D297" s="5">
        <f t="shared" si="22"/>
        <v>18.439999999999998</v>
      </c>
      <c r="E297" s="5">
        <v>18.440000000000001</v>
      </c>
      <c r="F297">
        <v>13</v>
      </c>
      <c r="G297" s="8">
        <v>21</v>
      </c>
      <c r="H297" s="8"/>
      <c r="I297" t="s">
        <v>112</v>
      </c>
      <c r="J297" t="s">
        <v>85</v>
      </c>
      <c r="K297" t="s">
        <v>86</v>
      </c>
      <c r="L297" s="5">
        <v>5.09</v>
      </c>
      <c r="N297" s="6"/>
      <c r="O297" s="5"/>
    </row>
    <row r="298" spans="1:15" x14ac:dyDescent="0.55000000000000004">
      <c r="A298" s="6" t="s">
        <v>25</v>
      </c>
      <c r="B298" s="6">
        <v>13.42</v>
      </c>
      <c r="C298" s="5">
        <f t="shared" si="21"/>
        <v>8.33</v>
      </c>
      <c r="D298" s="5">
        <f t="shared" si="22"/>
        <v>18.509999999999998</v>
      </c>
      <c r="E298" s="5">
        <v>13.42</v>
      </c>
      <c r="F298">
        <v>14</v>
      </c>
      <c r="G298" s="8">
        <v>15</v>
      </c>
      <c r="H298" s="8"/>
      <c r="I298" t="s">
        <v>112</v>
      </c>
      <c r="J298" t="s">
        <v>85</v>
      </c>
      <c r="K298" t="s">
        <v>86</v>
      </c>
      <c r="L298" s="5">
        <v>5.09</v>
      </c>
      <c r="N298" s="6"/>
      <c r="O298" s="5"/>
    </row>
    <row r="299" spans="1:15" x14ac:dyDescent="0.55000000000000004">
      <c r="A299" s="6" t="s">
        <v>33</v>
      </c>
      <c r="B299" s="6">
        <v>13.67</v>
      </c>
      <c r="C299" s="5">
        <f t="shared" si="21"/>
        <v>8.58</v>
      </c>
      <c r="D299" s="5">
        <f t="shared" si="22"/>
        <v>18.759999999999998</v>
      </c>
      <c r="E299" s="5">
        <v>13.67</v>
      </c>
      <c r="F299">
        <v>15</v>
      </c>
      <c r="G299" s="8">
        <v>16</v>
      </c>
      <c r="H299" s="8"/>
      <c r="I299" t="s">
        <v>112</v>
      </c>
      <c r="J299" t="s">
        <v>85</v>
      </c>
      <c r="K299" t="s">
        <v>86</v>
      </c>
      <c r="L299" s="5">
        <v>5.09</v>
      </c>
      <c r="N299" s="6"/>
      <c r="O299" s="5"/>
    </row>
    <row r="300" spans="1:15" x14ac:dyDescent="0.55000000000000004">
      <c r="A300" s="6" t="s">
        <v>29</v>
      </c>
      <c r="B300" s="6">
        <v>13.89</v>
      </c>
      <c r="C300" s="5">
        <f t="shared" si="21"/>
        <v>8.8000000000000007</v>
      </c>
      <c r="D300" s="5">
        <f t="shared" si="22"/>
        <v>18.98</v>
      </c>
      <c r="E300" s="5">
        <v>18.98</v>
      </c>
      <c r="F300">
        <v>16</v>
      </c>
      <c r="G300" s="8">
        <v>22</v>
      </c>
      <c r="H300" s="8"/>
      <c r="I300" t="s">
        <v>112</v>
      </c>
      <c r="J300" t="s">
        <v>85</v>
      </c>
      <c r="K300" t="s">
        <v>86</v>
      </c>
      <c r="L300" s="5">
        <v>5.09</v>
      </c>
      <c r="N300" s="6"/>
      <c r="O300" s="5"/>
    </row>
    <row r="301" spans="1:15" x14ac:dyDescent="0.55000000000000004">
      <c r="A301" s="6" t="s">
        <v>30</v>
      </c>
      <c r="B301" s="6">
        <v>14.08</v>
      </c>
      <c r="C301" s="5">
        <f t="shared" si="21"/>
        <v>8.99</v>
      </c>
      <c r="D301" s="5">
        <f t="shared" si="22"/>
        <v>19.170000000000002</v>
      </c>
      <c r="E301" s="5">
        <v>14.08</v>
      </c>
      <c r="F301">
        <v>17</v>
      </c>
      <c r="G301" s="8">
        <v>17</v>
      </c>
      <c r="H301" s="8"/>
      <c r="I301" t="s">
        <v>112</v>
      </c>
      <c r="J301" t="s">
        <v>85</v>
      </c>
      <c r="K301" t="s">
        <v>86</v>
      </c>
      <c r="L301" s="5">
        <v>5.09</v>
      </c>
      <c r="N301" s="6"/>
      <c r="O301" s="5"/>
    </row>
    <row r="302" spans="1:15" x14ac:dyDescent="0.55000000000000004">
      <c r="A302" s="6" t="s">
        <v>45</v>
      </c>
      <c r="B302" s="6">
        <v>14.12</v>
      </c>
      <c r="C302" s="5">
        <f t="shared" si="21"/>
        <v>9.0299999999999994</v>
      </c>
      <c r="D302" s="5">
        <f t="shared" si="22"/>
        <v>19.21</v>
      </c>
      <c r="E302" s="5">
        <v>9.0299999999999994</v>
      </c>
      <c r="F302">
        <v>18</v>
      </c>
      <c r="G302" s="8">
        <v>9</v>
      </c>
      <c r="H302" s="8"/>
      <c r="I302" t="s">
        <v>112</v>
      </c>
      <c r="J302" t="s">
        <v>85</v>
      </c>
      <c r="K302" t="s">
        <v>86</v>
      </c>
      <c r="L302" s="5">
        <v>5.09</v>
      </c>
      <c r="N302" s="6"/>
      <c r="O302" s="5"/>
    </row>
    <row r="303" spans="1:15" x14ac:dyDescent="0.55000000000000004">
      <c r="A303" s="6" t="s">
        <v>41</v>
      </c>
      <c r="B303" s="6">
        <v>14.92</v>
      </c>
      <c r="C303" s="5">
        <f t="shared" si="21"/>
        <v>9.83</v>
      </c>
      <c r="D303" s="5">
        <f t="shared" si="22"/>
        <v>20.009999999999998</v>
      </c>
      <c r="E303" s="5">
        <v>20.010000000000002</v>
      </c>
      <c r="F303">
        <v>19</v>
      </c>
      <c r="G303" s="8">
        <v>23</v>
      </c>
      <c r="H303" s="8"/>
      <c r="I303" t="s">
        <v>112</v>
      </c>
      <c r="J303" t="s">
        <v>85</v>
      </c>
      <c r="K303" t="s">
        <v>86</v>
      </c>
      <c r="L303" s="5">
        <v>5.09</v>
      </c>
      <c r="N303" s="6"/>
      <c r="O303" s="5"/>
    </row>
    <row r="304" spans="1:15" x14ac:dyDescent="0.55000000000000004">
      <c r="A304" s="6" t="s">
        <v>42</v>
      </c>
      <c r="B304" s="6">
        <v>15.62</v>
      </c>
      <c r="C304" s="5">
        <f t="shared" si="21"/>
        <v>10.53</v>
      </c>
      <c r="D304" s="5">
        <f t="shared" si="22"/>
        <v>20.71</v>
      </c>
      <c r="E304" s="5">
        <v>10.53</v>
      </c>
      <c r="F304">
        <v>20</v>
      </c>
      <c r="G304" s="8">
        <v>10</v>
      </c>
      <c r="H304" s="8"/>
      <c r="I304" t="s">
        <v>112</v>
      </c>
      <c r="J304" t="s">
        <v>85</v>
      </c>
      <c r="K304" t="s">
        <v>86</v>
      </c>
      <c r="L304" s="5">
        <v>5.09</v>
      </c>
      <c r="N304" s="6"/>
      <c r="O304" s="5"/>
    </row>
    <row r="305" spans="1:15" x14ac:dyDescent="0.55000000000000004">
      <c r="A305" s="6" t="s">
        <v>31</v>
      </c>
      <c r="B305" s="6">
        <v>16.350000000000001</v>
      </c>
      <c r="C305" s="5">
        <f t="shared" si="21"/>
        <v>11.260000000000002</v>
      </c>
      <c r="D305" s="5">
        <f t="shared" si="22"/>
        <v>21.44</v>
      </c>
      <c r="E305" s="5">
        <v>16.350000000000001</v>
      </c>
      <c r="F305">
        <v>21</v>
      </c>
      <c r="G305" s="8">
        <v>18</v>
      </c>
      <c r="H305" s="8"/>
      <c r="I305" t="s">
        <v>112</v>
      </c>
      <c r="J305" t="s">
        <v>85</v>
      </c>
      <c r="K305" t="s">
        <v>86</v>
      </c>
      <c r="L305" s="5">
        <v>5.09</v>
      </c>
      <c r="N305" s="6"/>
      <c r="O305" s="5"/>
    </row>
    <row r="306" spans="1:15" x14ac:dyDescent="0.55000000000000004">
      <c r="A306" s="6" t="s">
        <v>47</v>
      </c>
      <c r="B306" s="6">
        <v>16.510000000000002</v>
      </c>
      <c r="C306" s="5">
        <f t="shared" si="21"/>
        <v>11.420000000000002</v>
      </c>
      <c r="D306" s="5">
        <f t="shared" si="22"/>
        <v>21.6</v>
      </c>
      <c r="E306" s="5">
        <v>16.510000000000002</v>
      </c>
      <c r="F306">
        <v>22</v>
      </c>
      <c r="G306" s="8">
        <v>19</v>
      </c>
      <c r="H306" s="8"/>
      <c r="I306" t="s">
        <v>112</v>
      </c>
      <c r="J306" t="s">
        <v>85</v>
      </c>
      <c r="K306" t="s">
        <v>86</v>
      </c>
      <c r="L306" s="5">
        <v>5.09</v>
      </c>
      <c r="N306" s="6"/>
      <c r="O306" s="5"/>
    </row>
    <row r="307" spans="1:15" x14ac:dyDescent="0.55000000000000004">
      <c r="A307" s="6" t="s">
        <v>32</v>
      </c>
      <c r="B307" s="6">
        <v>16.8</v>
      </c>
      <c r="C307" s="5">
        <f t="shared" si="21"/>
        <v>11.71</v>
      </c>
      <c r="D307" s="5">
        <f t="shared" si="22"/>
        <v>21.89</v>
      </c>
      <c r="E307" s="5">
        <v>21.89</v>
      </c>
      <c r="F307">
        <v>23</v>
      </c>
      <c r="G307" s="8">
        <v>24</v>
      </c>
      <c r="H307" s="8"/>
      <c r="I307" t="s">
        <v>112</v>
      </c>
      <c r="J307" t="s">
        <v>85</v>
      </c>
      <c r="K307" t="s">
        <v>86</v>
      </c>
      <c r="L307" s="5">
        <v>5.09</v>
      </c>
      <c r="N307" s="6"/>
      <c r="O307" s="5"/>
    </row>
    <row r="308" spans="1:15" x14ac:dyDescent="0.55000000000000004">
      <c r="A308" s="6" t="s">
        <v>43</v>
      </c>
      <c r="B308" s="6">
        <v>17.350000000000001</v>
      </c>
      <c r="C308" s="5">
        <f t="shared" si="21"/>
        <v>12.260000000000002</v>
      </c>
      <c r="D308" s="5">
        <f t="shared" si="22"/>
        <v>22.44</v>
      </c>
      <c r="E308" s="5">
        <v>22.44</v>
      </c>
      <c r="F308">
        <v>24</v>
      </c>
      <c r="G308" s="8">
        <v>25</v>
      </c>
      <c r="H308" s="8"/>
      <c r="I308" t="s">
        <v>112</v>
      </c>
      <c r="J308" t="s">
        <v>85</v>
      </c>
      <c r="K308" t="s">
        <v>86</v>
      </c>
      <c r="L308" s="5">
        <v>5.09</v>
      </c>
      <c r="N308" s="6"/>
      <c r="O308" s="5"/>
    </row>
    <row r="309" spans="1:15" x14ac:dyDescent="0.55000000000000004">
      <c r="A309" s="6" t="s">
        <v>26</v>
      </c>
      <c r="B309" s="6">
        <v>17.510000000000002</v>
      </c>
      <c r="C309" s="5">
        <f t="shared" si="21"/>
        <v>12.420000000000002</v>
      </c>
      <c r="D309" s="5">
        <f t="shared" si="22"/>
        <v>22.6</v>
      </c>
      <c r="E309" s="5">
        <v>17.510000000000002</v>
      </c>
      <c r="F309">
        <v>25</v>
      </c>
      <c r="G309" s="8">
        <v>20</v>
      </c>
      <c r="H309" s="8"/>
      <c r="I309" t="s">
        <v>112</v>
      </c>
      <c r="J309" t="s">
        <v>85</v>
      </c>
      <c r="K309" t="s">
        <v>86</v>
      </c>
      <c r="L309" s="5">
        <v>5.09</v>
      </c>
      <c r="N309" s="6"/>
      <c r="O309" s="5"/>
    </row>
  </sheetData>
  <sortState xmlns:xlrd2="http://schemas.microsoft.com/office/spreadsheetml/2017/richdata2" ref="N285:O309">
    <sortCondition ref="O285:O309"/>
  </sortState>
  <pageMargins left="0.7" right="0.7" top="0.75" bottom="0.75" header="0.3" footer="0.3"/>
  <pageSetup scale="8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Pre-Qualy_Model</vt:lpstr>
      <vt:lpstr>Post-Qualy_Model</vt:lpstr>
      <vt:lpstr>Pre-Qualy Results</vt:lpstr>
      <vt:lpstr>Post-Qualy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Ruben Palomino</dc:creator>
  <cp:lastModifiedBy>Palomino Alanis, Ruben</cp:lastModifiedBy>
  <cp:lastPrinted>2026-03-06T22:48:31Z</cp:lastPrinted>
  <dcterms:created xsi:type="dcterms:W3CDTF">2026-02-25T20:35:48Z</dcterms:created>
  <dcterms:modified xsi:type="dcterms:W3CDTF">2026-08-30T16:29:01Z</dcterms:modified>
</cp:coreProperties>
</file>